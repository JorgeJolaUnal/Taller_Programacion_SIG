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4332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APA NACIONAL\2024\OFICIALIZACION\ENTREGABLES_v1\2020\"/>
    </mc:Choice>
  </mc:AlternateContent>
  <xr:revisionPtr revIDLastSave="0" documentId="13_ncr:1_{2BB146E8-B75D-4E0A-9A83-DA3F24774EA1}" xr6:coauthVersionLast="47" xr6:coauthVersionMax="47" xr10:uidLastSave="{00000000-0000-0000-0000-000000000000}"/>
  <bookViews>
    <workbookView xWindow="-110" yWindow="-110" windowWidth="19420" windowHeight="10300" xr2:uid="{00000000-000D-0000-FFFF-FFFF00000000}"/>
  </bookViews>
  <sheets>
    <sheet name="Ficha_Representación_Simbólica" sheetId="4" r:id="rId1"/>
    <sheet name="Hoja1" sheetId="5" r:id="rId2"/>
    <sheet name="Dominios" sheetId="3" state="hidden" r:id="rId3"/>
  </sheets>
  <definedNames>
    <definedName name="Cinco">Dominios!$N$15:$N$17</definedName>
    <definedName name="Consistencia_Lógica">Dominios!$N$5:$N$8</definedName>
    <definedName name="ConsistenciaLógica">Dominios!$N$5:$N$8</definedName>
    <definedName name="ConsistenciLógica">Dominios!$N$5:$N$8</definedName>
    <definedName name="Cuatro">Dominios!$N$12:$N$14</definedName>
    <definedName name="Dos">Dominios!$N$5:$N$8</definedName>
    <definedName name="Exactitud_Posición">Dominios!$N$9:$N$11</definedName>
    <definedName name="Exactitud_Temática">Dominios!$N$15:$N$17</definedName>
    <definedName name="ExactitudPosición">Dominios!$N$9:$N$11</definedName>
    <definedName name="ExactitudTemática">Dominios!$N$15:$N$17</definedName>
    <definedName name="ExactitudTemporal">Dominios!$N$12:$N$14</definedName>
    <definedName name="Seis">Dominios!$N$18:$N$20</definedName>
    <definedName name="Totalidad">Dominios!$N$3:$N$4</definedName>
    <definedName name="Tres">Dominios!$N$9:$N$11</definedName>
    <definedName name="Uno">Dominios!$N$3:$N$4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Z73" i="4" l="1"/>
  <c r="V73" i="4"/>
  <c r="P73" i="4"/>
  <c r="P33" i="4"/>
  <c r="V33" i="4"/>
  <c r="Z33" i="4"/>
  <c r="P34" i="4"/>
  <c r="V34" i="4"/>
  <c r="Z34" i="4"/>
  <c r="P35" i="4"/>
  <c r="V35" i="4"/>
  <c r="Z35" i="4"/>
  <c r="P36" i="4"/>
  <c r="V36" i="4"/>
  <c r="Z36" i="4"/>
  <c r="P37" i="4"/>
  <c r="V37" i="4"/>
  <c r="Z37" i="4"/>
  <c r="P38" i="4"/>
  <c r="V38" i="4"/>
  <c r="Z38" i="4"/>
  <c r="P39" i="4"/>
  <c r="V39" i="4"/>
  <c r="Z39" i="4"/>
  <c r="P40" i="4"/>
  <c r="V40" i="4"/>
  <c r="Z40" i="4"/>
  <c r="P41" i="4"/>
  <c r="V41" i="4"/>
  <c r="Z41" i="4"/>
  <c r="P42" i="4"/>
  <c r="V42" i="4"/>
  <c r="Z42" i="4"/>
  <c r="P43" i="4"/>
  <c r="V43" i="4"/>
  <c r="Z43" i="4"/>
  <c r="P44" i="4"/>
  <c r="V44" i="4"/>
  <c r="Z44" i="4"/>
  <c r="P45" i="4"/>
  <c r="V45" i="4"/>
  <c r="Z45" i="4"/>
  <c r="P46" i="4"/>
  <c r="V46" i="4"/>
  <c r="Z46" i="4"/>
  <c r="P47" i="4"/>
  <c r="V47" i="4"/>
  <c r="Z47" i="4"/>
  <c r="V48" i="4"/>
  <c r="Z48" i="4"/>
  <c r="P49" i="4"/>
  <c r="V49" i="4"/>
  <c r="Z49" i="4"/>
  <c r="P50" i="4"/>
  <c r="V50" i="4"/>
  <c r="Z50" i="4"/>
  <c r="P51" i="4"/>
  <c r="V51" i="4"/>
  <c r="Z51" i="4"/>
  <c r="P52" i="4"/>
  <c r="V52" i="4"/>
  <c r="Z52" i="4"/>
  <c r="P53" i="4"/>
  <c r="V53" i="4"/>
  <c r="Z53" i="4"/>
  <c r="P54" i="4"/>
  <c r="V54" i="4"/>
  <c r="Z54" i="4"/>
  <c r="P55" i="4"/>
  <c r="V55" i="4"/>
  <c r="Z55" i="4"/>
  <c r="P56" i="4"/>
  <c r="V56" i="4"/>
  <c r="Z56" i="4"/>
  <c r="P57" i="4"/>
  <c r="V57" i="4"/>
  <c r="Z57" i="4"/>
  <c r="P58" i="4"/>
  <c r="V58" i="4"/>
  <c r="Z58" i="4"/>
  <c r="P59" i="4"/>
  <c r="V59" i="4"/>
  <c r="Z59" i="4"/>
  <c r="P60" i="4"/>
  <c r="V60" i="4"/>
  <c r="Z60" i="4"/>
  <c r="P61" i="4"/>
  <c r="V61" i="4"/>
  <c r="Z61" i="4"/>
  <c r="P62" i="4"/>
  <c r="V62" i="4"/>
  <c r="Z62" i="4"/>
  <c r="P63" i="4"/>
  <c r="V63" i="4"/>
  <c r="Z63" i="4"/>
  <c r="P64" i="4"/>
  <c r="V64" i="4"/>
  <c r="Z64" i="4"/>
  <c r="P65" i="4"/>
  <c r="V65" i="4"/>
  <c r="Z65" i="4"/>
  <c r="P66" i="4"/>
  <c r="V66" i="4"/>
  <c r="Z66" i="4"/>
  <c r="P67" i="4"/>
  <c r="V67" i="4"/>
  <c r="Z67" i="4"/>
  <c r="P68" i="4"/>
  <c r="V68" i="4"/>
  <c r="Z68" i="4"/>
  <c r="P69" i="4"/>
  <c r="V69" i="4"/>
  <c r="Z69" i="4"/>
  <c r="P70" i="4"/>
  <c r="V70" i="4"/>
  <c r="Z70" i="4"/>
  <c r="P71" i="4"/>
  <c r="V71" i="4"/>
  <c r="Z71" i="4"/>
  <c r="P72" i="4"/>
  <c r="V72" i="4"/>
  <c r="Z72" i="4"/>
  <c r="P74" i="4"/>
  <c r="V74" i="4"/>
  <c r="Z74" i="4"/>
  <c r="Z32" i="4"/>
  <c r="Z31" i="4"/>
  <c r="Z30" i="4"/>
  <c r="Z29" i="4"/>
  <c r="Z28" i="4"/>
  <c r="Z27" i="4"/>
  <c r="Z26" i="4"/>
  <c r="Z25" i="4"/>
  <c r="Z24" i="4"/>
  <c r="Z23" i="4"/>
  <c r="Z22" i="4"/>
  <c r="Z21" i="4"/>
  <c r="Z20" i="4"/>
  <c r="V32" i="4"/>
  <c r="V31" i="4"/>
  <c r="V30" i="4"/>
  <c r="V29" i="4"/>
  <c r="V28" i="4"/>
  <c r="V27" i="4"/>
  <c r="V26" i="4"/>
  <c r="V25" i="4"/>
  <c r="V24" i="4"/>
  <c r="V23" i="4"/>
  <c r="V22" i="4"/>
  <c r="V21" i="4"/>
  <c r="V20" i="4"/>
  <c r="P32" i="4"/>
  <c r="P31" i="4"/>
  <c r="P30" i="4"/>
  <c r="P29" i="4"/>
  <c r="P28" i="4"/>
  <c r="P27" i="4"/>
  <c r="P26" i="4"/>
  <c r="P25" i="4"/>
  <c r="P24" i="4"/>
  <c r="P23" i="4"/>
  <c r="P22" i="4"/>
  <c r="P21" i="4"/>
  <c r="P20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Ariel</author>
  </authors>
  <commentList>
    <comment ref="R12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Ariel:</t>
        </r>
        <r>
          <rPr>
            <sz val="9"/>
            <color indexed="81"/>
            <rFont val="Tahoma"/>
            <family val="2"/>
          </rPr>
          <t xml:space="preserve">
Es el mismo UUID?</t>
        </r>
      </text>
    </comment>
  </commentList>
</comments>
</file>

<file path=xl/sharedStrings.xml><?xml version="1.0" encoding="utf-8"?>
<sst xmlns="http://schemas.openxmlformats.org/spreadsheetml/2006/main" count="530" uniqueCount="395">
  <si>
    <t>Código</t>
  </si>
  <si>
    <t>Versión</t>
  </si>
  <si>
    <t>Fecha</t>
  </si>
  <si>
    <t>Página</t>
  </si>
  <si>
    <t>FICHA DE REPRESENTACIÓN GRÁFICA</t>
  </si>
  <si>
    <t>Elabora</t>
  </si>
  <si>
    <t>Valida</t>
  </si>
  <si>
    <t>REFERENCIA FICHA DE CATALOGO</t>
  </si>
  <si>
    <t>Nombre</t>
  </si>
  <si>
    <t>Nidia Cristina Mayorga</t>
  </si>
  <si>
    <t>Tema</t>
  </si>
  <si>
    <t>Grupo</t>
  </si>
  <si>
    <t>Fecha de Elaboración</t>
  </si>
  <si>
    <t>Subdirección/Grupo</t>
  </si>
  <si>
    <t>Ecosistemas e Información Ambiental / Suelos y Tierras</t>
  </si>
  <si>
    <t>3.MONITOREO Y SEGUIMIENTO DE SUELOS Y TIERRAS</t>
  </si>
  <si>
    <t>3.1. Estados de las Coberturas de la Tierra</t>
  </si>
  <si>
    <t>Teléfono</t>
  </si>
  <si>
    <t>352 7160  Ext. 1702</t>
  </si>
  <si>
    <t>Nombre del  objeto</t>
  </si>
  <si>
    <t>Código del Objeto</t>
  </si>
  <si>
    <t>Código de simbología</t>
  </si>
  <si>
    <t>Correo electrónico</t>
  </si>
  <si>
    <t>nmayorga@ideam.gov.co</t>
  </si>
  <si>
    <t>SIN DEFINIR</t>
  </si>
  <si>
    <t>Fecha de Creación</t>
  </si>
  <si>
    <t>Nombre del Atributo</t>
  </si>
  <si>
    <t>Valor de Atributo</t>
  </si>
  <si>
    <t>Símbolo</t>
  </si>
  <si>
    <t>GEOMETRÍA PUNTO</t>
  </si>
  <si>
    <t>RASTER</t>
  </si>
  <si>
    <t>GEOMETRÍA POLÍGONO</t>
  </si>
  <si>
    <t>GEOMETRÍA LÍNEA</t>
  </si>
  <si>
    <t>Línea</t>
  </si>
  <si>
    <t>Relleno</t>
  </si>
  <si>
    <t>Marca</t>
  </si>
  <si>
    <t>Estilo de Línea</t>
  </si>
  <si>
    <t>R</t>
  </si>
  <si>
    <t>G</t>
  </si>
  <si>
    <t>B</t>
  </si>
  <si>
    <t>Hexagesimal</t>
  </si>
  <si>
    <t>Grosor de Línea</t>
  </si>
  <si>
    <t>Estillo de Relleno</t>
  </si>
  <si>
    <t>Estilo de Marca</t>
  </si>
  <si>
    <t>Tamaño</t>
  </si>
  <si>
    <t>nivel_3</t>
  </si>
  <si>
    <t>1.1.1. Tejido urbano continuo</t>
  </si>
  <si>
    <t>1.1.2. Tejido urbano discontinuo</t>
  </si>
  <si>
    <t>1.2.1. Zonas industriales o comerciales</t>
  </si>
  <si>
    <t>1.2.2. Red vial, ferroviaria y terrenos asociados</t>
  </si>
  <si>
    <t>1.2.3. Zonas portuarias</t>
  </si>
  <si>
    <t>1.2.4. Aeropuertos</t>
  </si>
  <si>
    <t>1.2.5. Obras hidráulicas</t>
  </si>
  <si>
    <t>1.3.1. Zonas de extracción minera</t>
  </si>
  <si>
    <t>1.3.2. Zona de disposición de residuos</t>
  </si>
  <si>
    <t>1.4.1. Zonas verdes urbanas</t>
  </si>
  <si>
    <t>1.4.2. Instalaciones recreativas</t>
  </si>
  <si>
    <t>2.1.1. Otros cultivos transitorios</t>
  </si>
  <si>
    <t>2.1.2. Cereales</t>
  </si>
  <si>
    <t>2.1.3. Oleaginosas y leguminosas</t>
  </si>
  <si>
    <t>2.1.4. Hortalizas</t>
  </si>
  <si>
    <t>2.1.5. Tubérculos</t>
  </si>
  <si>
    <t>2.2.1. Cultivos permanentes herbáceos</t>
  </si>
  <si>
    <t>2.2.2. Cultivos permanentes arbustivos</t>
  </si>
  <si>
    <t>2.2.3. Cultivos permanentes arbóreos</t>
  </si>
  <si>
    <t>2.2.4. Cultivos agroforestales</t>
  </si>
  <si>
    <t>2.2.5. Cultivos confinados</t>
  </si>
  <si>
    <t>2.3.1. Pastos limpios</t>
  </si>
  <si>
    <t>2.3.2. Pastos arbolados</t>
  </si>
  <si>
    <t>2.3.3. Pastos enmalezados</t>
  </si>
  <si>
    <t>2.4.1. Mosaico de cultivos</t>
  </si>
  <si>
    <t>2.4.2. Mosaico de pastos y cultivos</t>
  </si>
  <si>
    <t>2.4.3. Mosaico de cultivos, pastos y espacios naturales</t>
  </si>
  <si>
    <t>2.4.4. Mosaico de pastos con espacios naturales</t>
  </si>
  <si>
    <t>2.4.5. Mosaico de cultivos con espacios naturales</t>
  </si>
  <si>
    <t>3.1.1. Bosque denso</t>
  </si>
  <si>
    <t>3.1.2. Bosque abierto</t>
  </si>
  <si>
    <t>3.1.3. Bosque fragmentado</t>
  </si>
  <si>
    <t>3.1.4. Bosque de galería y ripario</t>
  </si>
  <si>
    <t>3.1.5. Plantación forestal</t>
  </si>
  <si>
    <t>3.2.1. Herbazal</t>
  </si>
  <si>
    <t>3.2.2. Arbustal</t>
  </si>
  <si>
    <t>3.2.3. Vegetación secundaria o en transición</t>
  </si>
  <si>
    <t>3.3.1. Zonas arenosas naturales</t>
  </si>
  <si>
    <t>3.3.2. Afloramientos rocosos</t>
  </si>
  <si>
    <t>3.3.3. Tierras desnudas y degradadas</t>
  </si>
  <si>
    <t>3.3.4. Zonas quemadas</t>
  </si>
  <si>
    <t>3.3.5. Zonas glaciares y nivales</t>
  </si>
  <si>
    <t>4.1.1. Zonas Pantanosas</t>
  </si>
  <si>
    <t>4.1.2. Turberas</t>
  </si>
  <si>
    <t>4.1.3. Vegetación acuática sobre cuerpos de agua</t>
  </si>
  <si>
    <t>4.2.1. Pantanos costeros</t>
  </si>
  <si>
    <t>4.2.2. Salitral</t>
  </si>
  <si>
    <t>4.2.3. Sedimentos expuestos en bajamar</t>
  </si>
  <si>
    <t>5.1.1. Ríos</t>
  </si>
  <si>
    <t>5.1.2. Lagunas, lagos y ciénagas naturales</t>
  </si>
  <si>
    <t>5.1.3. Canales</t>
  </si>
  <si>
    <t>5.1.4. Cuerpos de agua artificiales</t>
  </si>
  <si>
    <t>5.2.1. Lagunas costeras</t>
  </si>
  <si>
    <t>5.2.3. Estanques para acuicultura marina</t>
  </si>
  <si>
    <t>Clase</t>
  </si>
  <si>
    <t>Color</t>
  </si>
  <si>
    <t>CC0000</t>
  </si>
  <si>
    <t>F80000</t>
  </si>
  <si>
    <t>CC4D2A</t>
  </si>
  <si>
    <t>D96545</t>
  </si>
  <si>
    <t>E1846B</t>
  </si>
  <si>
    <t>E79C87</t>
  </si>
  <si>
    <t>EEB9AA</t>
  </si>
  <si>
    <t>A700CC</t>
  </si>
  <si>
    <t>D417FF</t>
  </si>
  <si>
    <t>FF8080</t>
  </si>
  <si>
    <t>FFB0B0</t>
  </si>
  <si>
    <t>FFFFA6</t>
  </si>
  <si>
    <t>FFFF5F</t>
  </si>
  <si>
    <t>EEE800</t>
  </si>
  <si>
    <t>D1CE00</t>
  </si>
  <si>
    <t>B5B200</t>
  </si>
  <si>
    <t>F2CDA7</t>
  </si>
  <si>
    <t>EDB780</t>
  </si>
  <si>
    <t>E8A15A</t>
  </si>
  <si>
    <t>E38D36</t>
  </si>
  <si>
    <t>D67A1E</t>
  </si>
  <si>
    <t>CCFFCC</t>
  </si>
  <si>
    <t>9EFF9E</t>
  </si>
  <si>
    <t>9EFFC8</t>
  </si>
  <si>
    <t>FFE6A6</t>
  </si>
  <si>
    <t>FFD875</t>
  </si>
  <si>
    <t>FFC940</t>
  </si>
  <si>
    <t>FFB700</t>
  </si>
  <si>
    <t>D69A00</t>
  </si>
  <si>
    <t>478F00</t>
  </si>
  <si>
    <t>55AB00</t>
  </si>
  <si>
    <t>61C200</t>
  </si>
  <si>
    <t>70E000</t>
  </si>
  <si>
    <t>80FF00</t>
  </si>
  <si>
    <t>CCF24E</t>
  </si>
  <si>
    <t>ACDB0F</t>
  </si>
  <si>
    <t>96BF0D</t>
  </si>
  <si>
    <t>C2C2C2</t>
  </si>
  <si>
    <t>B3B3B3</t>
  </si>
  <si>
    <t>9E9E9E</t>
  </si>
  <si>
    <t>8A8A8A</t>
  </si>
  <si>
    <t>6565B5</t>
  </si>
  <si>
    <t>A6A6FF</t>
  </si>
  <si>
    <t>9191FF</t>
  </si>
  <si>
    <t>7373FF</t>
  </si>
  <si>
    <t>CCCCFF</t>
  </si>
  <si>
    <t>B8B8FF</t>
  </si>
  <si>
    <t>0000F8</t>
  </si>
  <si>
    <t>0080FF</t>
  </si>
  <si>
    <t>00B2FF</t>
  </si>
  <si>
    <t>00CEF2</t>
  </si>
  <si>
    <t>45E0F5</t>
  </si>
  <si>
    <t>CCF6FF</t>
  </si>
  <si>
    <t>MD_TopicCategoryCode</t>
  </si>
  <si>
    <t>MD_SpatialRepresentationTypeCode</t>
  </si>
  <si>
    <t>NOMBRE</t>
  </si>
  <si>
    <t>CÓDIGO EPSG</t>
  </si>
  <si>
    <t>TEMA</t>
  </si>
  <si>
    <t>GRUPO</t>
  </si>
  <si>
    <t>Tipo de Atributo</t>
  </si>
  <si>
    <t>Tipo de Dato</t>
  </si>
  <si>
    <t>Unidades de Medida</t>
  </si>
  <si>
    <t>Tipo de Representación</t>
  </si>
  <si>
    <t>Calidad</t>
  </si>
  <si>
    <t>MD_ScopeCode</t>
  </si>
  <si>
    <t>CI_DateTypeCode</t>
  </si>
  <si>
    <t>DQ_EvaluationMethodTypeCode</t>
  </si>
  <si>
    <t>Nivel de Inspección</t>
  </si>
  <si>
    <t>Frecuencia de Actualización</t>
  </si>
  <si>
    <t>Método</t>
  </si>
  <si>
    <t>Resultado</t>
  </si>
  <si>
    <t>Agricultura</t>
  </si>
  <si>
    <t>Vector</t>
  </si>
  <si>
    <t>WGS 84</t>
  </si>
  <si>
    <t>Ordinario</t>
  </si>
  <si>
    <t>No Aplica</t>
  </si>
  <si>
    <t>No aplica</t>
  </si>
  <si>
    <t>Raster</t>
  </si>
  <si>
    <t>Elemento</t>
  </si>
  <si>
    <t>Subelemento</t>
  </si>
  <si>
    <t>Atributo</t>
  </si>
  <si>
    <t>Creación</t>
  </si>
  <si>
    <t>Directo Interno</t>
  </si>
  <si>
    <t>Área Geográfica</t>
  </si>
  <si>
    <t>Continuo</t>
  </si>
  <si>
    <t>Inspección completa</t>
  </si>
  <si>
    <t>Resultado Cuantitativo</t>
  </si>
  <si>
    <t>Biológico</t>
  </si>
  <si>
    <t>MAGNA-SIRGAS</t>
  </si>
  <si>
    <t>1. SEGUIMIENTO Y CARACTERIZACIÓN DEL CLIMA</t>
  </si>
  <si>
    <t>1.1. Clima Precipitacion</t>
  </si>
  <si>
    <t>Agregación</t>
  </si>
  <si>
    <t>Texto</t>
  </si>
  <si>
    <t>Grados centígrados</t>
  </si>
  <si>
    <t>Totalidad</t>
  </si>
  <si>
    <t>Comisión</t>
  </si>
  <si>
    <t>Publicación</t>
  </si>
  <si>
    <t>Directo Externo</t>
  </si>
  <si>
    <t>Serie</t>
  </si>
  <si>
    <t>Diariamente</t>
  </si>
  <si>
    <t>Inspección muestral</t>
  </si>
  <si>
    <t>Resultado de Conformidad</t>
  </si>
  <si>
    <t>Límites</t>
  </si>
  <si>
    <t>Alfanumérico</t>
  </si>
  <si>
    <t>MAGNA-SIRGAS / Colombia Far West zone</t>
  </si>
  <si>
    <t>2. MONITOREO EVALUACIÓN Y MODELAMIENTO DEL RECURSO HÍDRICO</t>
  </si>
  <si>
    <t xml:space="preserve">1.2. Clima Temperatura </t>
  </si>
  <si>
    <t>Composición</t>
  </si>
  <si>
    <t>Entero</t>
  </si>
  <si>
    <t>Grados, Minutos y Segundos</t>
  </si>
  <si>
    <t>Consistencia Lógica</t>
  </si>
  <si>
    <t>Omisión</t>
  </si>
  <si>
    <t>Colección de Hardware</t>
  </si>
  <si>
    <t>Revisión</t>
  </si>
  <si>
    <t>Indirecto</t>
  </si>
  <si>
    <t>Lote</t>
  </si>
  <si>
    <t>Semanal</t>
  </si>
  <si>
    <t>Evaluación Indirecta</t>
  </si>
  <si>
    <t>Resultado Descriptivo</t>
  </si>
  <si>
    <t>Clima, Meteorología y Atmósfera</t>
  </si>
  <si>
    <t>TIN</t>
  </si>
  <si>
    <t>MAGNA-SIRGAS / Colombia West zone</t>
  </si>
  <si>
    <t xml:space="preserve">1.3. Clima Variacion Precipitacion </t>
  </si>
  <si>
    <t>Decimal</t>
  </si>
  <si>
    <t>Metro cuadrados (m²)</t>
  </si>
  <si>
    <t>Exactitud en Posición</t>
  </si>
  <si>
    <t>Consistencia en Dominio</t>
  </si>
  <si>
    <t>Collección de Sesión</t>
  </si>
  <si>
    <t>Vencimiento</t>
  </si>
  <si>
    <t>Hoja</t>
  </si>
  <si>
    <t>Quincenal</t>
  </si>
  <si>
    <t>Economía</t>
  </si>
  <si>
    <t>Modelo Estereoscópico</t>
  </si>
  <si>
    <t>MAGNA-SIRGAS / Colombia Bogota zone</t>
  </si>
  <si>
    <t>4. MONITOREO Y SEGUIMIENTO DE ECOSISTEMAS</t>
  </si>
  <si>
    <t xml:space="preserve">1.4. Clima Variacion Temperatura </t>
  </si>
  <si>
    <t>Geometry</t>
  </si>
  <si>
    <r>
      <t>Kilómetros cuadrados (Km</t>
    </r>
    <r>
      <rPr>
        <sz val="11"/>
        <color theme="1"/>
        <rFont val="Calibri"/>
        <family val="2"/>
      </rPr>
      <t>²</t>
    </r>
    <r>
      <rPr>
        <sz val="11"/>
        <color theme="1"/>
        <rFont val="Calibri"/>
        <family val="2"/>
        <scheme val="minor"/>
      </rPr>
      <t>)</t>
    </r>
  </si>
  <si>
    <t>Exactitud Temporal</t>
  </si>
  <si>
    <t>Consistencia en Formato</t>
  </si>
  <si>
    <t>Conjunto de Datos</t>
  </si>
  <si>
    <t>Última Actualización</t>
  </si>
  <si>
    <t>Mensual</t>
  </si>
  <si>
    <t>Elevación</t>
  </si>
  <si>
    <t>Video</t>
  </si>
  <si>
    <t>MAGNA-SIRGAS / Colombia East Central zone</t>
  </si>
  <si>
    <t>5. MONITOREO Y SEGUIMIENTO DE ECOSISTEMAS DE BOSQUE</t>
  </si>
  <si>
    <t xml:space="preserve">1.5. Clima Potencial Energetico </t>
  </si>
  <si>
    <t>blob</t>
  </si>
  <si>
    <r>
      <t>Metros cúbicos (m³</t>
    </r>
    <r>
      <rPr>
        <sz val="11"/>
        <color theme="1"/>
        <rFont val="Calibri"/>
        <family val="2"/>
      </rPr>
      <t>)</t>
    </r>
  </si>
  <si>
    <t>Exactitud Temática</t>
  </si>
  <si>
    <t>Consistencia en Topología</t>
  </si>
  <si>
    <t>Última Revisión</t>
  </si>
  <si>
    <t>Trimestral</t>
  </si>
  <si>
    <t>Medio Ambiente</t>
  </si>
  <si>
    <t>MAGNA-SIRGAS / Colombia East zone</t>
  </si>
  <si>
    <t>6. AMENAZAS/VULNERABILIDAD/RIEGOS AMBIENTALES</t>
  </si>
  <si>
    <t xml:space="preserve">1.6. Clima Viento </t>
  </si>
  <si>
    <t>Boleano</t>
  </si>
  <si>
    <t>Millones de metros cúbicos(Mm³)</t>
  </si>
  <si>
    <t>Usabilidad del Elemento</t>
  </si>
  <si>
    <t>Consistencia Conceptual</t>
  </si>
  <si>
    <t>Conjuntos de Datos no geográficos</t>
  </si>
  <si>
    <t>Próxima Actualización</t>
  </si>
  <si>
    <t>Semestral</t>
  </si>
  <si>
    <t>Información Geocientífica</t>
  </si>
  <si>
    <t>7. MONITOREO Y SEGUIMIENTO AL USO Y APROVECHAMIENTO DE LOS RECURSOS</t>
  </si>
  <si>
    <t>1.7. Clima Analisis Climatico</t>
  </si>
  <si>
    <t>Milímetros/década</t>
  </si>
  <si>
    <t>Exactitud Absoluta</t>
  </si>
  <si>
    <t>Dimensión Grupo</t>
  </si>
  <si>
    <t>No Disponible</t>
  </si>
  <si>
    <t>Anual</t>
  </si>
  <si>
    <t>Salud</t>
  </si>
  <si>
    <t>8. UNIDADES DE ANALISIS Y REFERENCIA</t>
  </si>
  <si>
    <t>1.8. Agrometeorologia</t>
  </si>
  <si>
    <t>Grados centígrados/década</t>
  </si>
  <si>
    <t>Exactitud Relativa</t>
  </si>
  <si>
    <t>Objeto</t>
  </si>
  <si>
    <t>Vigente</t>
  </si>
  <si>
    <t>Según sea necesario</t>
  </si>
  <si>
    <t>Imágenes base para el mapeo de la cobertura terrestre</t>
  </si>
  <si>
    <t>Booleano</t>
  </si>
  <si>
    <t>1.9. Quimica de la Atmosfera</t>
  </si>
  <si>
    <t>Metros/segundo</t>
  </si>
  <si>
    <t>Exactitud de datos de celda</t>
  </si>
  <si>
    <t>Tipo de Objeto</t>
  </si>
  <si>
    <t>Adoptado</t>
  </si>
  <si>
    <t>Irregular</t>
  </si>
  <si>
    <t>Inteligencia Militar</t>
  </si>
  <si>
    <t>FALSE</t>
  </si>
  <si>
    <t>1.10. Fenomeno La Niña</t>
  </si>
  <si>
    <t>Litros/segundo</t>
  </si>
  <si>
    <t>Exactitud de la medición temporal</t>
  </si>
  <si>
    <t>Tipo de Propiedad</t>
  </si>
  <si>
    <t>Obsoleto</t>
  </si>
  <si>
    <t>No Planificado</t>
  </si>
  <si>
    <t>Aguas Continentales</t>
  </si>
  <si>
    <t>TRUE</t>
  </si>
  <si>
    <t>1.11 Fenomeno El Niño</t>
  </si>
  <si>
    <t>Toneladas</t>
  </si>
  <si>
    <t>Consistencia temporal</t>
  </si>
  <si>
    <t>Campo sesión</t>
  </si>
  <si>
    <t>Reemplazar</t>
  </si>
  <si>
    <t>Desconocido</t>
  </si>
  <si>
    <t>Localización</t>
  </si>
  <si>
    <t>1.12 Escenarios de Cambio Climatico</t>
  </si>
  <si>
    <t>Milímetros</t>
  </si>
  <si>
    <t>Validez Temporal</t>
  </si>
  <si>
    <t>Software</t>
  </si>
  <si>
    <t>Validación Inicial</t>
  </si>
  <si>
    <t>Periódico</t>
  </si>
  <si>
    <t>Océanos</t>
  </si>
  <si>
    <t>2.1. Demanda Hidrica</t>
  </si>
  <si>
    <t>Dobson</t>
  </si>
  <si>
    <t>Exactitud en la Clasificación</t>
  </si>
  <si>
    <t>Servicio</t>
  </si>
  <si>
    <t>Validación Final</t>
  </si>
  <si>
    <t>Semi Mensual</t>
  </si>
  <si>
    <t>Catastro Planificado</t>
  </si>
  <si>
    <t>2.2. Oferta (Agua Superficial y Subterranea)</t>
  </si>
  <si>
    <t xml:space="preserve">Centímetros </t>
  </si>
  <si>
    <t>Exactitud Cualitativa</t>
  </si>
  <si>
    <t>Modelo</t>
  </si>
  <si>
    <t>Liberado</t>
  </si>
  <si>
    <t>Bienal</t>
  </si>
  <si>
    <t>Sociedad</t>
  </si>
  <si>
    <t>2.3. Calidad de Agua</t>
  </si>
  <si>
    <t>Metros</t>
  </si>
  <si>
    <t>Exactitud Cuantitativa</t>
  </si>
  <si>
    <t>Título</t>
  </si>
  <si>
    <t>Distribución</t>
  </si>
  <si>
    <t>Construcciones</t>
  </si>
  <si>
    <t>2.4. Indicadores Hidricos</t>
  </si>
  <si>
    <t>Kilómetros</t>
  </si>
  <si>
    <t>Adaptabilidad de los datos al contexto organizacional</t>
  </si>
  <si>
    <t>Metadato</t>
  </si>
  <si>
    <t>Transporte</t>
  </si>
  <si>
    <t>2.5. Huella Hidrica</t>
  </si>
  <si>
    <t>Hectárea</t>
  </si>
  <si>
    <t>Nivel de control de los usuarios sobre los datos</t>
  </si>
  <si>
    <t>Iniciativa</t>
  </si>
  <si>
    <t>Infraestructura</t>
  </si>
  <si>
    <t>2.6. Dinámica Fluvial</t>
  </si>
  <si>
    <t>Pulgada</t>
  </si>
  <si>
    <t xml:space="preserve">Suficiencia de los datos para el desarrollo de tareas específicas </t>
  </si>
  <si>
    <t>Muestra</t>
  </si>
  <si>
    <t>Extraatmósfera</t>
  </si>
  <si>
    <t>Porcentaje</t>
  </si>
  <si>
    <t>Documento</t>
  </si>
  <si>
    <t>Desastres</t>
  </si>
  <si>
    <t>3.2. Estado de la Degradacion de los Suelos</t>
  </si>
  <si>
    <t>Porcentaje/año</t>
  </si>
  <si>
    <t>Repositorio</t>
  </si>
  <si>
    <t>3.3. Dinamica de la Degradacion de los Suelos y Tierras</t>
  </si>
  <si>
    <t>Agregado</t>
  </si>
  <si>
    <t>4.1. Estados de los Ecosistemas</t>
  </si>
  <si>
    <t>4.2. Dinamica de los Ecosistemas</t>
  </si>
  <si>
    <t>4.3. Estado de los Ecosistemas Presentes en la Red Ecologica Nacional</t>
  </si>
  <si>
    <t>4.4. Oferta de los Servicios Ecosistemicos en la Red Ecologica Nacional</t>
  </si>
  <si>
    <t>5.1. Superficie de Bosque</t>
  </si>
  <si>
    <t>5.2. Dinamica de Cambio de la Cobertura de Bosque</t>
  </si>
  <si>
    <t>5.3. Alertas de Deforestacion</t>
  </si>
  <si>
    <t>5.4. Uso del Recurso Bosque</t>
  </si>
  <si>
    <t>5.5. Estado del Bosque</t>
  </si>
  <si>
    <t>6.1. Amenaza Ambiental</t>
  </si>
  <si>
    <t>6.2. Vulnerabilidad/Susceptibilidad Ambiental</t>
  </si>
  <si>
    <t>6.3. Vulnerabilidad Cambio Climatico</t>
  </si>
  <si>
    <t>6.4. Riesgo Ambiental</t>
  </si>
  <si>
    <t>6.5. Residuos peligrosos y PCB</t>
  </si>
  <si>
    <t xml:space="preserve">7.1. Ubicación establecimientos </t>
  </si>
  <si>
    <t>7.2. Demanda y presión del recurso hidrico</t>
  </si>
  <si>
    <t>7.3. Demanda recurso energía</t>
  </si>
  <si>
    <t>7.4. Residuos no peligrosos</t>
  </si>
  <si>
    <t>7.5. Emisiones atmosféricas</t>
  </si>
  <si>
    <t>7.6.  Acciones de gestión ambiental</t>
  </si>
  <si>
    <t>7.7. Demanda y presión del recurso suelo</t>
  </si>
  <si>
    <t>8.1 Unidades de Analisis</t>
  </si>
  <si>
    <t>8.2 Datos de Referencia</t>
  </si>
  <si>
    <t>6.1. AMENAZA AMBIENTAL</t>
  </si>
  <si>
    <t>6.2. VULNERABILIDAD/SUSCEPTIBILIDAD AMBIENTAL</t>
  </si>
  <si>
    <t>6.3. VULNERABILIDAD CAMBIO CLIMATICO</t>
  </si>
  <si>
    <t>6.4. RIESGO AMBIENTAL</t>
  </si>
  <si>
    <t>7.1 UNIDADES DE ANALISIS</t>
  </si>
  <si>
    <t>7.2 DATOS DE REFERENCIA</t>
  </si>
  <si>
    <t>2/072024</t>
  </si>
  <si>
    <t>Ana María Hernández Anzola</t>
  </si>
  <si>
    <t>amhernandeza@ideam.gov.co</t>
  </si>
  <si>
    <t>Sin línea</t>
  </si>
  <si>
    <t>Sólido</t>
  </si>
  <si>
    <t>FFB03C</t>
  </si>
  <si>
    <t>e_cobertura_tierra_2020_admin</t>
  </si>
  <si>
    <t>5.2.2. Mares y océanos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</si>
</sst>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theme="1"/>
      <name val="Calibri"/>
      <family val="2"/>
    </font>
    <font>
      <sz val="8"/>
      <color indexed="8"/>
      <name val="Calibri"/>
      <family val="2"/>
    </font>
    <font>
      <sz val="11"/>
      <color indexed="8"/>
      <name val="Calibri"/>
      <family val="2"/>
    </font>
    <font>
      <b/>
      <sz val="16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1"/>
      <color indexed="8"/>
      <name val="Calibri"/>
      <family val="2"/>
    </font>
    <font>
      <i/>
      <sz val="12"/>
      <color indexed="8"/>
      <name val="Calibri"/>
      <family val="2"/>
    </font>
    <font>
      <b/>
      <sz val="11"/>
      <name val="Calibri"/>
      <family val="2"/>
      <scheme val="minor"/>
    </font>
    <font>
      <sz val="10"/>
      <color indexed="8"/>
      <name val="Arial"/>
      <family val="2"/>
    </font>
    <font>
      <u/>
      <sz val="11"/>
      <color theme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000000"/>
      <name val="Arial"/>
      <family val="2"/>
    </font>
    <font>
      <sz val="11"/>
      <color rgb="FF000000"/>
      <name val="Calibri"/>
      <family val="2"/>
    </font>
    <font>
      <i/>
      <sz val="12"/>
      <name val="Calibri"/>
      <family val="2"/>
    </font>
  </fonts>
  <fills count="60">
    <fill>
      <patternFill patternType="none"/>
    </fill>
    <fill>
      <patternFill patternType="gray125"/>
    </fill>
    <fill>
      <patternFill patternType="solid">
        <fgColor theme="4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0000"/>
        <bgColor indexed="64"/>
      </patternFill>
    </fill>
    <fill>
      <patternFill patternType="solid">
        <fgColor rgb="FFF80000"/>
        <bgColor indexed="64"/>
      </patternFill>
    </fill>
    <fill>
      <patternFill patternType="solid">
        <fgColor rgb="FFCC4D2A"/>
        <bgColor indexed="64"/>
      </patternFill>
    </fill>
    <fill>
      <patternFill patternType="solid">
        <fgColor rgb="FFD96545"/>
        <bgColor indexed="64"/>
      </patternFill>
    </fill>
    <fill>
      <patternFill patternType="solid">
        <fgColor rgb="FFE1846B"/>
        <bgColor indexed="64"/>
      </patternFill>
    </fill>
    <fill>
      <patternFill patternType="solid">
        <fgColor rgb="FFE79C87"/>
        <bgColor indexed="64"/>
      </patternFill>
    </fill>
    <fill>
      <patternFill patternType="solid">
        <fgColor rgb="FFEEB9AA"/>
        <bgColor indexed="64"/>
      </patternFill>
    </fill>
    <fill>
      <patternFill patternType="solid">
        <fgColor rgb="FFFF8080"/>
        <bgColor indexed="64"/>
      </patternFill>
    </fill>
    <fill>
      <patternFill patternType="solid">
        <fgColor rgb="FFFFFFA6"/>
        <bgColor indexed="64"/>
      </patternFill>
    </fill>
    <fill>
      <patternFill patternType="solid">
        <fgColor rgb="FFFFFF5F"/>
        <bgColor indexed="64"/>
      </patternFill>
    </fill>
    <fill>
      <patternFill patternType="solid">
        <fgColor rgb="FFEEE80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9EFF9E"/>
        <bgColor indexed="64"/>
      </patternFill>
    </fill>
    <fill>
      <patternFill patternType="solid">
        <fgColor rgb="FF9EFFC8"/>
        <bgColor indexed="64"/>
      </patternFill>
    </fill>
    <fill>
      <patternFill patternType="solid">
        <fgColor rgb="FFFFE6A6"/>
        <bgColor indexed="64"/>
      </patternFill>
    </fill>
    <fill>
      <patternFill patternType="solid">
        <fgColor rgb="FFFFD875"/>
        <bgColor indexed="64"/>
      </patternFill>
    </fill>
    <fill>
      <patternFill patternType="solid">
        <fgColor rgb="FFCCF24E"/>
        <bgColor indexed="64"/>
      </patternFill>
    </fill>
    <fill>
      <patternFill patternType="solid">
        <fgColor rgb="FFACDB0F"/>
        <bgColor indexed="64"/>
      </patternFill>
    </fill>
    <fill>
      <patternFill patternType="solid">
        <fgColor rgb="FF96BF0D"/>
        <bgColor indexed="64"/>
      </patternFill>
    </fill>
    <fill>
      <patternFill patternType="solid">
        <fgColor rgb="FFC2C2C2"/>
        <bgColor indexed="64"/>
      </patternFill>
    </fill>
    <fill>
      <patternFill patternType="solid">
        <fgColor rgb="FFB3B3B3"/>
        <bgColor indexed="64"/>
      </patternFill>
    </fill>
    <fill>
      <patternFill patternType="solid">
        <fgColor rgb="FF9E9E9E"/>
        <bgColor indexed="64"/>
      </patternFill>
    </fill>
    <fill>
      <patternFill patternType="solid">
        <fgColor rgb="FFA6A6FF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00F8"/>
        <bgColor indexed="64"/>
      </patternFill>
    </fill>
    <fill>
      <patternFill patternType="solid">
        <fgColor rgb="FF00B2FF"/>
        <bgColor indexed="64"/>
      </patternFill>
    </fill>
    <fill>
      <patternFill patternType="solid">
        <fgColor rgb="FF00CEF2"/>
        <bgColor rgb="FF00CEF2"/>
      </patternFill>
    </fill>
    <fill>
      <patternFill patternType="solid">
        <fgColor rgb="FF45E0F5"/>
        <bgColor rgb="FF45E0F5"/>
      </patternFill>
    </fill>
    <fill>
      <patternFill patternType="solid">
        <fgColor rgb="FFCCF6FF"/>
        <bgColor rgb="FFCCF6FF"/>
      </patternFill>
    </fill>
    <fill>
      <patternFill patternType="solid">
        <fgColor rgb="FF478F00"/>
        <bgColor rgb="FF478F00"/>
      </patternFill>
    </fill>
    <fill>
      <patternFill patternType="solid">
        <fgColor rgb="FF55AB00"/>
        <bgColor rgb="FF55AB00"/>
      </patternFill>
    </fill>
    <fill>
      <patternFill patternType="solid">
        <fgColor rgb="FF61C200"/>
        <bgColor rgb="FF61C200"/>
      </patternFill>
    </fill>
    <fill>
      <patternFill patternType="solid">
        <fgColor rgb="FF70E000"/>
        <bgColor rgb="FF70E000"/>
      </patternFill>
    </fill>
    <fill>
      <patternFill patternType="solid">
        <fgColor rgb="FF80FF00"/>
        <bgColor rgb="FF80FF00"/>
      </patternFill>
    </fill>
    <fill>
      <patternFill patternType="solid">
        <fgColor rgb="FFFFB03C"/>
        <bgColor indexed="64"/>
      </patternFill>
    </fill>
    <fill>
      <patternFill patternType="solid">
        <fgColor rgb="FFA600CC"/>
        <bgColor indexed="64"/>
      </patternFill>
    </fill>
    <fill>
      <patternFill patternType="solid">
        <fgColor rgb="FFD317FF"/>
        <bgColor indexed="64"/>
      </patternFill>
    </fill>
    <fill>
      <patternFill patternType="solid">
        <fgColor rgb="FFFFAFAF"/>
        <bgColor indexed="64"/>
      </patternFill>
    </fill>
    <fill>
      <patternFill patternType="solid">
        <fgColor rgb="FFE1D200"/>
        <bgColor indexed="64"/>
      </patternFill>
    </fill>
    <fill>
      <patternFill patternType="solid">
        <fgColor rgb="FFD2CD00"/>
        <bgColor indexed="64"/>
      </patternFill>
    </fill>
    <fill>
      <patternFill patternType="solid">
        <fgColor rgb="FFF2CCA6"/>
        <bgColor indexed="64"/>
      </patternFill>
    </fill>
    <fill>
      <patternFill patternType="solid">
        <fgColor rgb="FFF2A64D"/>
        <bgColor indexed="64"/>
      </patternFill>
    </fill>
    <fill>
      <patternFill patternType="solid">
        <fgColor rgb="FFE6A600"/>
        <bgColor indexed="64"/>
      </patternFill>
    </fill>
    <fill>
      <patternFill patternType="solid">
        <fgColor rgb="FFCC900A"/>
        <bgColor indexed="64"/>
      </patternFill>
    </fill>
    <fill>
      <patternFill patternType="solid">
        <fgColor rgb="FF824A12"/>
        <bgColor indexed="64"/>
      </patternFill>
    </fill>
    <fill>
      <patternFill patternType="solid">
        <fgColor rgb="FFFFC941"/>
        <bgColor indexed="64"/>
      </patternFill>
    </fill>
    <fill>
      <patternFill patternType="solid">
        <fgColor rgb="FFFEB500"/>
        <bgColor indexed="64"/>
      </patternFill>
    </fill>
    <fill>
      <patternFill patternType="solid">
        <fgColor rgb="FF898989"/>
        <bgColor indexed="64"/>
      </patternFill>
    </fill>
    <fill>
      <patternFill patternType="solid">
        <fgColor rgb="FF6565B4"/>
        <bgColor indexed="64"/>
      </patternFill>
    </fill>
    <fill>
      <patternFill patternType="solid">
        <fgColor rgb="FF4D91FF"/>
        <bgColor indexed="64"/>
      </patternFill>
    </fill>
    <fill>
      <patternFill patternType="solid">
        <fgColor rgb="FF5050FF"/>
        <bgColor indexed="64"/>
      </patternFill>
    </fill>
    <fill>
      <patternFill patternType="solid">
        <fgColor rgb="FFB7B7FF"/>
        <bgColor indexed="64"/>
      </patternFill>
    </fill>
    <fill>
      <patternFill patternType="solid">
        <fgColor rgb="FFA6A6E6"/>
        <bgColor indexed="64"/>
      </patternFill>
    </fill>
    <fill>
      <patternFill patternType="solid">
        <fgColor rgb="FF0080FF"/>
        <bgColor indexed="64"/>
      </patternFill>
    </fill>
    <fill>
      <patternFill patternType="solid">
        <fgColor rgb="FF94B4FA"/>
        <bgColor indexed="64"/>
      </patternFill>
    </fill>
  </fills>
  <borders count="1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</borders>
  <cellStyleXfs count="2">
    <xf numFmtId="0" fontId="0" fillId="0" borderId="0"/>
    <xf numFmtId="0" fontId="14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1" xfId="0" applyBorder="1"/>
    <xf numFmtId="0" fontId="1" fillId="0" borderId="0" xfId="0" applyFont="1"/>
    <xf numFmtId="0" fontId="0" fillId="0" borderId="5" xfId="0" applyBorder="1"/>
    <xf numFmtId="0" fontId="0" fillId="0" borderId="4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2" fillId="0" borderId="0" xfId="0" applyFont="1"/>
    <xf numFmtId="0" fontId="7" fillId="0" borderId="5" xfId="0" applyFont="1" applyBorder="1" applyAlignment="1">
      <alignment horizontal="center" vertical="top"/>
    </xf>
    <xf numFmtId="0" fontId="6" fillId="0" borderId="5" xfId="0" applyFont="1" applyBorder="1" applyAlignment="1">
      <alignment horizontal="center" vertical="top" wrapText="1"/>
    </xf>
    <xf numFmtId="0" fontId="7" fillId="0" borderId="1" xfId="0" applyFont="1" applyBorder="1" applyAlignment="1">
      <alignment horizontal="center" vertical="top"/>
    </xf>
    <xf numFmtId="0" fontId="6" fillId="0" borderId="1" xfId="0" applyFont="1" applyBorder="1" applyAlignment="1">
      <alignment horizontal="center" vertical="top" wrapText="1"/>
    </xf>
    <xf numFmtId="0" fontId="1" fillId="3" borderId="1" xfId="0" applyFont="1" applyFill="1" applyBorder="1"/>
    <xf numFmtId="0" fontId="0" fillId="3" borderId="1" xfId="0" applyFill="1" applyBorder="1"/>
    <xf numFmtId="0" fontId="0" fillId="4" borderId="1" xfId="0" applyFill="1" applyBorder="1" applyAlignment="1">
      <alignment horizontal="center" vertical="center"/>
    </xf>
    <xf numFmtId="0" fontId="12" fillId="0" borderId="0" xfId="0" applyFont="1"/>
    <xf numFmtId="0" fontId="2" fillId="0" borderId="0" xfId="0" applyFont="1" applyAlignment="1">
      <alignment vertical="center"/>
    </xf>
    <xf numFmtId="0" fontId="0" fillId="0" borderId="11" xfId="0" applyBorder="1" applyAlignment="1">
      <alignment vertical="center"/>
    </xf>
    <xf numFmtId="0" fontId="0" fillId="0" borderId="6" xfId="0" applyBorder="1" applyAlignment="1">
      <alignment vertical="center"/>
    </xf>
    <xf numFmtId="0" fontId="7" fillId="0" borderId="1" xfId="0" applyFont="1" applyBorder="1" applyAlignment="1" applyProtection="1">
      <alignment horizontal="center" vertical="center" wrapText="1"/>
      <protection locked="0"/>
    </xf>
    <xf numFmtId="0" fontId="13" fillId="5" borderId="1" xfId="0" applyFont="1" applyFill="1" applyBorder="1" applyAlignment="1">
      <alignment horizontal="center" vertical="center" wrapText="1"/>
    </xf>
    <xf numFmtId="0" fontId="13" fillId="6" borderId="1" xfId="0" applyFont="1" applyFill="1" applyBorder="1" applyAlignment="1">
      <alignment horizontal="center" vertical="center" wrapText="1"/>
    </xf>
    <xf numFmtId="0" fontId="13" fillId="7" borderId="1" xfId="0" applyFont="1" applyFill="1" applyBorder="1" applyAlignment="1">
      <alignment horizontal="center" vertical="center" wrapText="1"/>
    </xf>
    <xf numFmtId="0" fontId="13" fillId="8" borderId="1" xfId="0" applyFont="1" applyFill="1" applyBorder="1" applyAlignment="1">
      <alignment horizontal="center" vertical="center" wrapText="1"/>
    </xf>
    <xf numFmtId="0" fontId="13" fillId="9" borderId="1" xfId="0" applyFont="1" applyFill="1" applyBorder="1" applyAlignment="1">
      <alignment horizontal="center" vertical="center" wrapText="1"/>
    </xf>
    <xf numFmtId="0" fontId="13" fillId="10" borderId="1" xfId="0" applyFont="1" applyFill="1" applyBorder="1" applyAlignment="1">
      <alignment horizontal="center" vertical="center" wrapText="1"/>
    </xf>
    <xf numFmtId="0" fontId="13" fillId="11" borderId="1" xfId="0" applyFont="1" applyFill="1" applyBorder="1" applyAlignment="1">
      <alignment horizontal="center" vertical="center" wrapText="1"/>
    </xf>
    <xf numFmtId="0" fontId="13" fillId="12" borderId="1" xfId="0" applyFont="1" applyFill="1" applyBorder="1" applyAlignment="1">
      <alignment horizontal="center" vertical="center" wrapText="1"/>
    </xf>
    <xf numFmtId="0" fontId="13" fillId="13" borderId="1" xfId="0" applyFont="1" applyFill="1" applyBorder="1" applyAlignment="1">
      <alignment horizontal="center" vertical="center" wrapText="1"/>
    </xf>
    <xf numFmtId="0" fontId="13" fillId="14" borderId="1" xfId="0" applyFont="1" applyFill="1" applyBorder="1" applyAlignment="1">
      <alignment horizontal="center" vertical="center" wrapText="1"/>
    </xf>
    <xf numFmtId="0" fontId="13" fillId="15" borderId="1" xfId="0" applyFont="1" applyFill="1" applyBorder="1" applyAlignment="1">
      <alignment horizontal="center" vertical="center" wrapText="1"/>
    </xf>
    <xf numFmtId="0" fontId="13" fillId="16" borderId="1" xfId="0" applyFont="1" applyFill="1" applyBorder="1" applyAlignment="1">
      <alignment horizontal="center" vertical="center" wrapText="1"/>
    </xf>
    <xf numFmtId="0" fontId="13" fillId="17" borderId="1" xfId="0" applyFont="1" applyFill="1" applyBorder="1" applyAlignment="1">
      <alignment horizontal="center" vertical="center" wrapText="1"/>
    </xf>
    <xf numFmtId="0" fontId="13" fillId="18" borderId="1" xfId="0" applyFont="1" applyFill="1" applyBorder="1" applyAlignment="1">
      <alignment horizontal="center" vertical="center" wrapText="1"/>
    </xf>
    <xf numFmtId="0" fontId="13" fillId="19" borderId="1" xfId="0" applyFont="1" applyFill="1" applyBorder="1" applyAlignment="1">
      <alignment horizontal="center" vertical="center" wrapText="1"/>
    </xf>
    <xf numFmtId="0" fontId="13" fillId="20" borderId="1" xfId="0" applyFont="1" applyFill="1" applyBorder="1" applyAlignment="1">
      <alignment horizontal="center" vertical="center" wrapText="1"/>
    </xf>
    <xf numFmtId="0" fontId="13" fillId="21" borderId="1" xfId="0" applyFont="1" applyFill="1" applyBorder="1" applyAlignment="1">
      <alignment horizontal="center" vertical="center" wrapText="1"/>
    </xf>
    <xf numFmtId="0" fontId="13" fillId="22" borderId="1" xfId="0" applyFont="1" applyFill="1" applyBorder="1" applyAlignment="1">
      <alignment horizontal="center" vertical="center" wrapText="1"/>
    </xf>
    <xf numFmtId="0" fontId="13" fillId="23" borderId="1" xfId="0" applyFont="1" applyFill="1" applyBorder="1" applyAlignment="1">
      <alignment horizontal="center" vertical="center" wrapText="1"/>
    </xf>
    <xf numFmtId="0" fontId="13" fillId="24" borderId="1" xfId="0" applyFont="1" applyFill="1" applyBorder="1" applyAlignment="1">
      <alignment horizontal="center" vertical="center" wrapText="1"/>
    </xf>
    <xf numFmtId="0" fontId="13" fillId="25" borderId="1" xfId="0" applyFont="1" applyFill="1" applyBorder="1" applyAlignment="1">
      <alignment horizontal="center" vertical="center" wrapText="1"/>
    </xf>
    <xf numFmtId="0" fontId="13" fillId="26" borderId="1" xfId="0" applyFont="1" applyFill="1" applyBorder="1" applyAlignment="1">
      <alignment horizontal="center" vertical="center" wrapText="1"/>
    </xf>
    <xf numFmtId="0" fontId="13" fillId="27" borderId="1" xfId="0" applyFont="1" applyFill="1" applyBorder="1" applyAlignment="1">
      <alignment horizontal="center" vertical="center" wrapText="1"/>
    </xf>
    <xf numFmtId="0" fontId="13" fillId="28" borderId="1" xfId="0" applyFont="1" applyFill="1" applyBorder="1" applyAlignment="1">
      <alignment horizontal="center" vertical="center" wrapText="1"/>
    </xf>
    <xf numFmtId="0" fontId="17" fillId="29" borderId="15" xfId="0" applyFont="1" applyFill="1" applyBorder="1" applyAlignment="1">
      <alignment horizontal="center" vertical="center" wrapText="1"/>
    </xf>
    <xf numFmtId="0" fontId="17" fillId="30" borderId="15" xfId="0" applyFont="1" applyFill="1" applyBorder="1" applyAlignment="1">
      <alignment horizontal="center" vertical="center" wrapText="1"/>
    </xf>
    <xf numFmtId="0" fontId="17" fillId="31" borderId="15" xfId="0" applyFont="1" applyFill="1" applyBorder="1" applyAlignment="1">
      <alignment horizontal="center" vertical="center" wrapText="1"/>
    </xf>
    <xf numFmtId="0" fontId="17" fillId="32" borderId="15" xfId="0" applyFont="1" applyFill="1" applyBorder="1" applyAlignment="1">
      <alignment horizontal="center" vertical="center" wrapText="1"/>
    </xf>
    <xf numFmtId="0" fontId="17" fillId="33" borderId="15" xfId="0" applyFont="1" applyFill="1" applyBorder="1" applyAlignment="1">
      <alignment horizontal="center" vertical="center" wrapText="1"/>
    </xf>
    <xf numFmtId="0" fontId="18" fillId="0" borderId="15" xfId="0" applyFont="1" applyBorder="1" applyAlignment="1">
      <alignment horizontal="center" vertical="center" wrapText="1"/>
    </xf>
    <xf numFmtId="0" fontId="17" fillId="34" borderId="15" xfId="0" applyFont="1" applyFill="1" applyBorder="1" applyAlignment="1">
      <alignment horizontal="center" vertical="center" wrapText="1"/>
    </xf>
    <xf numFmtId="0" fontId="17" fillId="35" borderId="15" xfId="0" applyFont="1" applyFill="1" applyBorder="1" applyAlignment="1">
      <alignment horizontal="center" vertical="center" wrapText="1"/>
    </xf>
    <xf numFmtId="0" fontId="17" fillId="36" borderId="15" xfId="0" applyFont="1" applyFill="1" applyBorder="1" applyAlignment="1">
      <alignment horizontal="center" vertical="center" wrapText="1"/>
    </xf>
    <xf numFmtId="0" fontId="17" fillId="37" borderId="15" xfId="0" applyFont="1" applyFill="1" applyBorder="1" applyAlignment="1">
      <alignment horizontal="center" vertical="center" wrapText="1"/>
    </xf>
    <xf numFmtId="0" fontId="17" fillId="38" borderId="15" xfId="0" applyFont="1" applyFill="1" applyBorder="1" applyAlignment="1">
      <alignment horizontal="center" vertical="center" wrapText="1"/>
    </xf>
    <xf numFmtId="0" fontId="13" fillId="39" borderId="1" xfId="0" applyFont="1" applyFill="1" applyBorder="1" applyAlignment="1">
      <alignment horizontal="center" vertical="center" wrapText="1"/>
    </xf>
    <xf numFmtId="0" fontId="13" fillId="40" borderId="1" xfId="0" applyFont="1" applyFill="1" applyBorder="1" applyAlignment="1">
      <alignment horizontal="center" vertical="center" wrapText="1"/>
    </xf>
    <xf numFmtId="0" fontId="13" fillId="41" borderId="1" xfId="0" applyFont="1" applyFill="1" applyBorder="1" applyAlignment="1">
      <alignment horizontal="center" vertical="center" wrapText="1"/>
    </xf>
    <xf numFmtId="0" fontId="13" fillId="42" borderId="1" xfId="0" applyFont="1" applyFill="1" applyBorder="1" applyAlignment="1">
      <alignment horizontal="center" vertical="center" wrapText="1"/>
    </xf>
    <xf numFmtId="0" fontId="13" fillId="43" borderId="1" xfId="0" applyFont="1" applyFill="1" applyBorder="1" applyAlignment="1">
      <alignment vertical="center" wrapText="1"/>
    </xf>
    <xf numFmtId="0" fontId="13" fillId="44" borderId="1" xfId="0" applyFont="1" applyFill="1" applyBorder="1" applyAlignment="1">
      <alignment horizontal="center" vertical="center" wrapText="1"/>
    </xf>
    <xf numFmtId="0" fontId="13" fillId="45" borderId="1" xfId="0" applyFont="1" applyFill="1" applyBorder="1" applyAlignment="1">
      <alignment horizontal="center" vertical="center" wrapText="1"/>
    </xf>
    <xf numFmtId="0" fontId="13" fillId="46" borderId="1" xfId="0" applyFont="1" applyFill="1" applyBorder="1" applyAlignment="1">
      <alignment horizontal="center" vertical="center" wrapText="1"/>
    </xf>
    <xf numFmtId="0" fontId="13" fillId="47" borderId="1" xfId="0" applyFont="1" applyFill="1" applyBorder="1" applyAlignment="1">
      <alignment horizontal="center" vertical="center" wrapText="1"/>
    </xf>
    <xf numFmtId="0" fontId="13" fillId="48" borderId="1" xfId="0" applyFont="1" applyFill="1" applyBorder="1" applyAlignment="1">
      <alignment horizontal="center" vertical="center" wrapText="1"/>
    </xf>
    <xf numFmtId="0" fontId="13" fillId="49" borderId="1" xfId="0" applyFont="1" applyFill="1" applyBorder="1" applyAlignment="1">
      <alignment horizontal="center" vertical="center" wrapText="1"/>
    </xf>
    <xf numFmtId="0" fontId="13" fillId="50" borderId="1" xfId="0" applyFont="1" applyFill="1" applyBorder="1" applyAlignment="1">
      <alignment horizontal="center" vertical="center" wrapText="1"/>
    </xf>
    <xf numFmtId="0" fontId="13" fillId="51" borderId="1" xfId="0" applyFont="1" applyFill="1" applyBorder="1" applyAlignment="1">
      <alignment horizontal="center" vertical="center" wrapText="1"/>
    </xf>
    <xf numFmtId="0" fontId="13" fillId="52" borderId="1" xfId="0" applyFont="1" applyFill="1" applyBorder="1" applyAlignment="1">
      <alignment horizontal="center" vertical="center" wrapText="1"/>
    </xf>
    <xf numFmtId="0" fontId="13" fillId="53" borderId="1" xfId="0" applyFont="1" applyFill="1" applyBorder="1" applyAlignment="1">
      <alignment horizontal="center" vertical="center" wrapText="1"/>
    </xf>
    <xf numFmtId="0" fontId="13" fillId="54" borderId="1" xfId="0" applyFont="1" applyFill="1" applyBorder="1" applyAlignment="1">
      <alignment horizontal="center" vertical="center" wrapText="1"/>
    </xf>
    <xf numFmtId="0" fontId="13" fillId="55" borderId="1" xfId="0" applyFont="1" applyFill="1" applyBorder="1" applyAlignment="1">
      <alignment horizontal="center" vertical="center" wrapText="1"/>
    </xf>
    <xf numFmtId="0" fontId="13" fillId="56" borderId="1" xfId="0" applyFont="1" applyFill="1" applyBorder="1" applyAlignment="1">
      <alignment horizontal="center" vertical="center" wrapText="1"/>
    </xf>
    <xf numFmtId="0" fontId="13" fillId="57" borderId="1" xfId="0" applyFont="1" applyFill="1" applyBorder="1" applyAlignment="1">
      <alignment horizontal="center" vertical="center" wrapText="1"/>
    </xf>
    <xf numFmtId="0" fontId="17" fillId="58" borderId="15" xfId="0" applyFont="1" applyFill="1" applyBorder="1" applyAlignment="1">
      <alignment horizontal="center" vertical="center" wrapText="1"/>
    </xf>
    <xf numFmtId="0" fontId="0" fillId="0" borderId="14" xfId="0" applyFill="1" applyBorder="1"/>
    <xf numFmtId="0" fontId="0" fillId="59" borderId="0" xfId="0" applyFill="1"/>
    <xf numFmtId="0" fontId="7" fillId="0" borderId="13" xfId="0" applyFont="1" applyBorder="1" applyAlignment="1" applyProtection="1">
      <alignment horizontal="center" vertical="center" wrapText="1"/>
      <protection locked="0"/>
    </xf>
    <xf numFmtId="0" fontId="0" fillId="0" borderId="14" xfId="0" applyBorder="1"/>
    <xf numFmtId="0" fontId="18" fillId="0" borderId="16" xfId="0" applyFont="1" applyBorder="1" applyAlignment="1">
      <alignment horizontal="center" vertical="center" wrapText="1"/>
    </xf>
    <xf numFmtId="0" fontId="0" fillId="0" borderId="13" xfId="0" applyBorder="1"/>
    <xf numFmtId="0" fontId="7" fillId="0" borderId="5" xfId="0" applyFont="1" applyBorder="1" applyAlignment="1" applyProtection="1">
      <alignment horizontal="center" vertical="center" wrapText="1"/>
      <protection locked="0"/>
    </xf>
    <xf numFmtId="0" fontId="18" fillId="0" borderId="17" xfId="0" applyFont="1" applyBorder="1" applyAlignment="1">
      <alignment horizontal="center" vertical="center" wrapText="1"/>
    </xf>
    <xf numFmtId="0" fontId="18" fillId="0" borderId="1" xfId="0" applyFont="1" applyFill="1" applyBorder="1" applyAlignment="1">
      <alignment horizontal="center" vertical="center" wrapText="1"/>
    </xf>
    <xf numFmtId="0" fontId="0" fillId="0" borderId="1" xfId="0" applyFill="1" applyBorder="1"/>
    <xf numFmtId="0" fontId="0" fillId="0" borderId="1" xfId="0" applyBorder="1" applyAlignment="1">
      <alignment horizontal="center" vertical="center"/>
    </xf>
    <xf numFmtId="0" fontId="0" fillId="0" borderId="1" xfId="0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3" fillId="3" borderId="1" xfId="0" applyFont="1" applyFill="1" applyBorder="1" applyAlignment="1">
      <alignment horizontal="center" vertical="center"/>
    </xf>
    <xf numFmtId="0" fontId="0" fillId="0" borderId="0" xfId="0" applyAlignment="1">
      <alignment horizontal="center"/>
    </xf>
    <xf numFmtId="0" fontId="0" fillId="0" borderId="1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6" xfId="0" applyBorder="1" applyAlignment="1">
      <alignment horizontal="center"/>
    </xf>
    <xf numFmtId="0" fontId="4" fillId="3" borderId="1" xfId="0" applyFon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9" fillId="2" borderId="4" xfId="0" applyFont="1" applyFill="1" applyBorder="1" applyAlignment="1">
      <alignment horizontal="center"/>
    </xf>
    <xf numFmtId="0" fontId="9" fillId="2" borderId="7" xfId="0" applyFont="1" applyFill="1" applyBorder="1" applyAlignment="1">
      <alignment horizontal="center"/>
    </xf>
    <xf numFmtId="0" fontId="9" fillId="2" borderId="2" xfId="0" applyFont="1" applyFill="1" applyBorder="1" applyAlignment="1">
      <alignment horizontal="center"/>
    </xf>
    <xf numFmtId="0" fontId="14" fillId="0" borderId="1" xfId="1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10" fillId="3" borderId="1" xfId="0" applyFont="1" applyFill="1" applyBorder="1" applyAlignment="1">
      <alignment horizontal="center" vertical="top" wrapText="1"/>
    </xf>
    <xf numFmtId="0" fontId="0" fillId="3" borderId="1" xfId="0" applyFill="1" applyBorder="1" applyAlignment="1">
      <alignment horizontal="center"/>
    </xf>
    <xf numFmtId="0" fontId="11" fillId="0" borderId="1" xfId="0" applyFont="1" applyBorder="1" applyAlignment="1">
      <alignment horizontal="center" vertical="top" wrapText="1"/>
    </xf>
    <xf numFmtId="0" fontId="10" fillId="3" borderId="4" xfId="0" applyFont="1" applyFill="1" applyBorder="1" applyAlignment="1">
      <alignment horizontal="center" vertical="top" wrapText="1"/>
    </xf>
    <xf numFmtId="0" fontId="10" fillId="3" borderId="7" xfId="0" applyFont="1" applyFill="1" applyBorder="1" applyAlignment="1">
      <alignment horizontal="center" vertical="top" wrapText="1"/>
    </xf>
    <xf numFmtId="0" fontId="10" fillId="3" borderId="2" xfId="0" applyFont="1" applyFill="1" applyBorder="1" applyAlignment="1">
      <alignment horizontal="center" vertical="top" wrapText="1"/>
    </xf>
    <xf numFmtId="14" fontId="11" fillId="0" borderId="1" xfId="0" applyNumberFormat="1" applyFont="1" applyBorder="1" applyAlignment="1">
      <alignment horizontal="center" vertical="top" wrapText="1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1" fillId="3" borderId="13" xfId="0" applyFont="1" applyFill="1" applyBorder="1" applyAlignment="1">
      <alignment horizontal="center" vertical="center"/>
    </xf>
    <xf numFmtId="0" fontId="1" fillId="3" borderId="14" xfId="0" applyFont="1" applyFill="1" applyBorder="1" applyAlignment="1">
      <alignment horizontal="center" vertical="center"/>
    </xf>
    <xf numFmtId="0" fontId="1" fillId="3" borderId="5" xfId="0" applyFont="1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9" fillId="0" borderId="1" xfId="0" applyFont="1" applyBorder="1" applyAlignment="1">
      <alignment horizontal="center" vertical="top" wrapText="1"/>
    </xf>
  </cellXfs>
  <cellStyles count="2">
    <cellStyle name="Hipervínculo" xfId="1" builtinId="8"/>
    <cellStyle name="Normal" xfId="0" builtinId="0"/>
  </cellStyles>
  <dxfs count="0"/>
  <tableStyles count="0" defaultTableStyle="TableStyleMedium2" defaultPivotStyle="PivotStyleLight16"/>
  <colors>
    <mruColors>
      <color rgb="FF94B4FA"/>
      <color rgb="FFCCF6FF"/>
      <color rgb="FF45E0F5"/>
      <color rgb="FF00CEF2"/>
      <color rgb="FF00B2FF"/>
      <color rgb="FF0080FF"/>
      <color rgb="FF0000F8"/>
      <color rgb="FFA6A6E6"/>
      <color rgb="FFB7B7FF"/>
      <color rgb="FFCCCC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11906</xdr:colOff>
      <xdr:row>0</xdr:row>
      <xdr:rowOff>0</xdr:rowOff>
    </xdr:from>
    <xdr:to>
      <xdr:col>1</xdr:col>
      <xdr:colOff>1332706</xdr:colOff>
      <xdr:row>5</xdr:row>
      <xdr:rowOff>0</xdr:rowOff>
    </xdr:to>
    <xdr:pic>
      <xdr:nvPicPr>
        <xdr:cNvPr id="2" name="18 Imagen" descr="http://zaragoza-antioquia.gov.co/apc-aa-files/495052435f4e494e4e4f535f30303035/ideam2_thumb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773906" y="0"/>
          <a:ext cx="1320800" cy="952500"/>
        </a:xfrm>
        <a:prstGeom prst="rect">
          <a:avLst/>
        </a:prstGeom>
        <a:noFill/>
        <a:ln w="9525">
          <a:solidFill>
            <a:srgbClr val="000000"/>
          </a:solidFill>
          <a:miter lim="800000"/>
          <a:headEnd/>
          <a:tailEnd/>
        </a:ln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85B9DC6-ACDB-4754-86F4-75754FF02F97}" name="Tabla1" displayName="Tabla1" ref="A1:B55" totalsRowShown="0">
  <autoFilter ref="A1:B55" xr:uid="{185B9DC6-ACDB-4754-86F4-75754FF02F97}"/>
  <tableColumns count="2">
    <tableColumn id="1" xr3:uid="{0926D618-1093-4779-8AB3-CB4D5297FE5E}" name="Clase"/>
    <tableColumn id="2" xr3:uid="{7C3ACF27-84F9-40F0-BCA2-837E296E9922}" name="Color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.bin"/><Relationship Id="rId2" Type="http://schemas.openxmlformats.org/officeDocument/2006/relationships/hyperlink" Target="mailto:nmayorga@ideam.gov.co" TargetMode="External"/><Relationship Id="rId1" Type="http://schemas.openxmlformats.org/officeDocument/2006/relationships/hyperlink" Target="mailto:amhernandeza@ideam.gov.co" TargetMode="External"/><Relationship Id="rId6" Type="http://schemas.openxmlformats.org/officeDocument/2006/relationships/comments" Target="../comments1.xml"/><Relationship Id="rId5" Type="http://schemas.openxmlformats.org/officeDocument/2006/relationships/vmlDrawing" Target="../drawings/vmlDrawing1.vml"/><Relationship Id="rId4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4"/>
  <dimension ref="B1:Z74"/>
  <sheetViews>
    <sheetView tabSelected="1" topLeftCell="A61" zoomScale="85" zoomScaleNormal="85" workbookViewId="0">
      <selection activeCell="B15" sqref="B15:B19"/>
    </sheetView>
  </sheetViews>
  <sheetFormatPr baseColWidth="10" defaultColWidth="11.453125" defaultRowHeight="14.5" x14ac:dyDescent="0.35"/>
  <cols>
    <col min="2" max="2" width="32.1796875" customWidth="1"/>
    <col min="3" max="3" width="47.7265625" customWidth="1"/>
    <col min="4" max="4" width="21" customWidth="1"/>
    <col min="5" max="5" width="14.1796875" customWidth="1"/>
    <col min="6" max="6" width="15.26953125" customWidth="1"/>
    <col min="7" max="9" width="5" customWidth="1"/>
    <col min="10" max="10" width="13.453125" customWidth="1"/>
    <col min="11" max="11" width="23.81640625" customWidth="1"/>
    <col min="12" max="12" width="17.1796875" bestFit="1" customWidth="1"/>
    <col min="13" max="15" width="5" bestFit="1" customWidth="1"/>
    <col min="16" max="16" width="13.453125" bestFit="1" customWidth="1"/>
    <col min="17" max="17" width="34.54296875" bestFit="1" customWidth="1"/>
    <col min="18" max="18" width="9.1796875" bestFit="1" customWidth="1"/>
    <col min="19" max="19" width="2.81640625" bestFit="1" customWidth="1"/>
    <col min="20" max="20" width="3" bestFit="1" customWidth="1"/>
    <col min="21" max="21" width="2.81640625" bestFit="1" customWidth="1"/>
    <col min="22" max="22" width="13.453125" bestFit="1" customWidth="1"/>
    <col min="23" max="25" width="3.26953125" bestFit="1" customWidth="1"/>
    <col min="26" max="26" width="14.1796875" bestFit="1" customWidth="1"/>
  </cols>
  <sheetData>
    <row r="1" spans="2:26" x14ac:dyDescent="0.35">
      <c r="B1" s="91"/>
      <c r="C1" s="91"/>
      <c r="D1" s="91"/>
      <c r="E1" s="91"/>
      <c r="F1" s="91"/>
      <c r="G1" s="91"/>
      <c r="H1" s="91"/>
      <c r="I1" s="91"/>
      <c r="J1" s="91"/>
      <c r="K1" s="91"/>
      <c r="L1" s="91"/>
      <c r="M1" s="91"/>
      <c r="N1" s="91"/>
      <c r="O1" s="91"/>
      <c r="P1" s="91"/>
      <c r="Q1" s="91"/>
      <c r="R1" s="91"/>
      <c r="S1" s="91"/>
      <c r="T1" s="91"/>
      <c r="U1" s="91"/>
      <c r="V1" s="92"/>
      <c r="W1" s="85" t="s">
        <v>0</v>
      </c>
      <c r="X1" s="85"/>
      <c r="Y1" s="85"/>
      <c r="Z1" s="1"/>
    </row>
    <row r="2" spans="2:26" x14ac:dyDescent="0.35">
      <c r="B2" s="91"/>
      <c r="C2" s="91"/>
      <c r="D2" s="91"/>
      <c r="E2" s="91"/>
      <c r="F2" s="91"/>
      <c r="G2" s="91"/>
      <c r="H2" s="91"/>
      <c r="I2" s="91"/>
      <c r="J2" s="91"/>
      <c r="K2" s="91"/>
      <c r="L2" s="91"/>
      <c r="M2" s="91"/>
      <c r="N2" s="91"/>
      <c r="O2" s="91"/>
      <c r="P2" s="91"/>
      <c r="Q2" s="91"/>
      <c r="R2" s="91"/>
      <c r="S2" s="91"/>
      <c r="T2" s="91"/>
      <c r="U2" s="91"/>
      <c r="V2" s="92"/>
      <c r="W2" s="85" t="s">
        <v>1</v>
      </c>
      <c r="X2" s="85"/>
      <c r="Y2" s="85"/>
      <c r="Z2" s="1"/>
    </row>
    <row r="3" spans="2:26" x14ac:dyDescent="0.35">
      <c r="B3" s="91"/>
      <c r="C3" s="91"/>
      <c r="D3" s="91"/>
      <c r="E3" s="91"/>
      <c r="F3" s="91"/>
      <c r="G3" s="91"/>
      <c r="H3" s="91"/>
      <c r="I3" s="91"/>
      <c r="J3" s="91"/>
      <c r="K3" s="91"/>
      <c r="L3" s="91"/>
      <c r="M3" s="91"/>
      <c r="N3" s="91"/>
      <c r="O3" s="91"/>
      <c r="P3" s="91"/>
      <c r="Q3" s="91"/>
      <c r="R3" s="91"/>
      <c r="S3" s="91"/>
      <c r="T3" s="91"/>
      <c r="U3" s="91"/>
      <c r="V3" s="92"/>
      <c r="W3" s="85" t="s">
        <v>2</v>
      </c>
      <c r="X3" s="85"/>
      <c r="Y3" s="85"/>
      <c r="Z3" s="1"/>
    </row>
    <row r="4" spans="2:26" x14ac:dyDescent="0.35">
      <c r="B4" s="91"/>
      <c r="C4" s="91"/>
      <c r="D4" s="91"/>
      <c r="E4" s="91"/>
      <c r="F4" s="91"/>
      <c r="G4" s="91"/>
      <c r="H4" s="91"/>
      <c r="I4" s="91"/>
      <c r="J4" s="91"/>
      <c r="K4" s="91"/>
      <c r="L4" s="91"/>
      <c r="M4" s="91"/>
      <c r="N4" s="91"/>
      <c r="O4" s="91"/>
      <c r="P4" s="91"/>
      <c r="Q4" s="91"/>
      <c r="R4" s="91"/>
      <c r="S4" s="91"/>
      <c r="T4" s="91"/>
      <c r="U4" s="91"/>
      <c r="V4" s="92"/>
      <c r="W4" s="85" t="s">
        <v>3</v>
      </c>
      <c r="X4" s="85"/>
      <c r="Y4" s="85"/>
      <c r="Z4" s="1"/>
    </row>
    <row r="5" spans="2:26" x14ac:dyDescent="0.35">
      <c r="B5" s="93"/>
      <c r="C5" s="93"/>
      <c r="D5" s="93"/>
      <c r="E5" s="93"/>
      <c r="F5" s="93"/>
      <c r="G5" s="93"/>
      <c r="H5" s="93"/>
      <c r="I5" s="93"/>
      <c r="J5" s="93"/>
      <c r="K5" s="93"/>
      <c r="L5" s="93"/>
      <c r="M5" s="93"/>
      <c r="N5" s="93"/>
      <c r="O5" s="93"/>
      <c r="P5" s="93"/>
      <c r="Q5" s="93"/>
      <c r="R5" s="93"/>
      <c r="S5" s="93"/>
      <c r="T5" s="93"/>
      <c r="U5" s="93"/>
      <c r="V5" s="94"/>
      <c r="W5" s="85"/>
      <c r="X5" s="85"/>
      <c r="Y5" s="85"/>
      <c r="Z5" s="1"/>
    </row>
    <row r="6" spans="2:26" ht="26" x14ac:dyDescent="0.6">
      <c r="B6" s="97" t="s">
        <v>4</v>
      </c>
      <c r="C6" s="98"/>
      <c r="D6" s="98"/>
      <c r="E6" s="98"/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9"/>
    </row>
    <row r="8" spans="2:26" ht="15.5" x14ac:dyDescent="0.35">
      <c r="B8" s="12"/>
      <c r="C8" s="95" t="s">
        <v>5</v>
      </c>
      <c r="D8" s="95"/>
      <c r="E8" s="95"/>
      <c r="F8" s="95"/>
      <c r="G8" s="95" t="s">
        <v>6</v>
      </c>
      <c r="H8" s="95"/>
      <c r="I8" s="95"/>
      <c r="J8" s="95"/>
      <c r="K8" s="95"/>
      <c r="M8" s="86" t="s">
        <v>7</v>
      </c>
      <c r="N8" s="86"/>
      <c r="O8" s="86"/>
      <c r="P8" s="86"/>
      <c r="Q8" s="86"/>
      <c r="R8" s="86"/>
      <c r="S8" s="86"/>
      <c r="T8" s="86"/>
      <c r="U8" s="86"/>
      <c r="V8" s="86"/>
      <c r="W8" s="86"/>
      <c r="X8" s="86"/>
      <c r="Y8" s="86"/>
      <c r="Z8" s="86"/>
    </row>
    <row r="9" spans="2:26" ht="15" customHeight="1" x14ac:dyDescent="0.35">
      <c r="B9" s="11" t="s">
        <v>8</v>
      </c>
      <c r="C9" s="96" t="s">
        <v>388</v>
      </c>
      <c r="D9" s="96"/>
      <c r="E9" s="96"/>
      <c r="F9" s="96"/>
      <c r="G9" s="85" t="s">
        <v>9</v>
      </c>
      <c r="H9" s="85"/>
      <c r="I9" s="85"/>
      <c r="J9" s="85"/>
      <c r="K9" s="85"/>
      <c r="M9" s="102" t="s">
        <v>10</v>
      </c>
      <c r="N9" s="102"/>
      <c r="O9" s="102"/>
      <c r="P9" s="102"/>
      <c r="Q9" s="102"/>
      <c r="R9" s="102" t="s">
        <v>11</v>
      </c>
      <c r="S9" s="102"/>
      <c r="T9" s="102"/>
      <c r="U9" s="102"/>
      <c r="V9" s="102"/>
      <c r="W9" s="102"/>
      <c r="X9" s="86" t="s">
        <v>12</v>
      </c>
      <c r="Y9" s="86"/>
      <c r="Z9" s="86"/>
    </row>
    <row r="10" spans="2:26" ht="15.5" x14ac:dyDescent="0.35">
      <c r="B10" s="11" t="s">
        <v>13</v>
      </c>
      <c r="C10" s="85" t="s">
        <v>14</v>
      </c>
      <c r="D10" s="85"/>
      <c r="E10" s="85"/>
      <c r="F10" s="85"/>
      <c r="G10" s="85" t="s">
        <v>14</v>
      </c>
      <c r="H10" s="85"/>
      <c r="I10" s="85"/>
      <c r="J10" s="85"/>
      <c r="K10" s="85"/>
      <c r="M10" s="104" t="s">
        <v>15</v>
      </c>
      <c r="N10" s="104"/>
      <c r="O10" s="104"/>
      <c r="P10" s="104"/>
      <c r="Q10" s="104"/>
      <c r="R10" s="104" t="s">
        <v>16</v>
      </c>
      <c r="S10" s="104"/>
      <c r="T10" s="104"/>
      <c r="U10" s="104"/>
      <c r="V10" s="104"/>
      <c r="W10" s="104"/>
      <c r="X10" s="108" t="s">
        <v>387</v>
      </c>
      <c r="Y10" s="104"/>
      <c r="Z10" s="104"/>
    </row>
    <row r="11" spans="2:26" ht="15" customHeight="1" x14ac:dyDescent="0.35">
      <c r="B11" s="11" t="s">
        <v>17</v>
      </c>
      <c r="C11" s="85" t="s">
        <v>18</v>
      </c>
      <c r="D11" s="85"/>
      <c r="E11" s="85"/>
      <c r="F11" s="85"/>
      <c r="G11" s="85" t="s">
        <v>18</v>
      </c>
      <c r="H11" s="85"/>
      <c r="I11" s="85"/>
      <c r="J11" s="85"/>
      <c r="K11" s="85"/>
      <c r="M11" s="102" t="s">
        <v>19</v>
      </c>
      <c r="N11" s="102"/>
      <c r="O11" s="102"/>
      <c r="P11" s="102"/>
      <c r="Q11" s="102"/>
      <c r="R11" s="105" t="s">
        <v>20</v>
      </c>
      <c r="S11" s="106"/>
      <c r="T11" s="106"/>
      <c r="U11" s="106"/>
      <c r="V11" s="106"/>
      <c r="W11" s="107"/>
      <c r="X11" s="86" t="s">
        <v>21</v>
      </c>
      <c r="Y11" s="86"/>
      <c r="Z11" s="86"/>
    </row>
    <row r="12" spans="2:26" ht="15.5" x14ac:dyDescent="0.35">
      <c r="B12" s="11" t="s">
        <v>22</v>
      </c>
      <c r="C12" s="100" t="s">
        <v>389</v>
      </c>
      <c r="D12" s="85"/>
      <c r="E12" s="85"/>
      <c r="F12" s="85"/>
      <c r="G12" s="100" t="s">
        <v>23</v>
      </c>
      <c r="H12" s="85"/>
      <c r="I12" s="85"/>
      <c r="J12" s="85"/>
      <c r="K12" s="85"/>
      <c r="M12" s="119" t="s">
        <v>393</v>
      </c>
      <c r="N12" s="119"/>
      <c r="O12" s="119"/>
      <c r="P12" s="119"/>
      <c r="Q12" s="119"/>
      <c r="R12" s="104" t="s">
        <v>24</v>
      </c>
      <c r="S12" s="104"/>
      <c r="T12" s="104"/>
      <c r="U12" s="104"/>
      <c r="V12" s="104"/>
      <c r="W12" s="104"/>
      <c r="X12" s="85" t="s">
        <v>24</v>
      </c>
      <c r="Y12" s="85"/>
      <c r="Z12" s="85"/>
    </row>
    <row r="13" spans="2:26" x14ac:dyDescent="0.35">
      <c r="B13" s="11" t="s">
        <v>25</v>
      </c>
      <c r="C13" s="101">
        <v>45475</v>
      </c>
      <c r="D13" s="85"/>
      <c r="E13" s="85"/>
      <c r="F13" s="85"/>
      <c r="G13" s="85"/>
      <c r="H13" s="85"/>
      <c r="I13" s="85"/>
      <c r="J13" s="85"/>
      <c r="K13" s="85"/>
      <c r="M13" s="103"/>
      <c r="N13" s="103"/>
      <c r="O13" s="103"/>
      <c r="P13" s="103"/>
      <c r="Q13" s="103"/>
      <c r="R13" s="103"/>
      <c r="S13" s="103"/>
      <c r="T13" s="103"/>
      <c r="U13" s="103"/>
      <c r="V13" s="103"/>
      <c r="W13" s="103"/>
      <c r="X13" s="103"/>
      <c r="Y13" s="103"/>
      <c r="Z13" s="103"/>
    </row>
    <row r="14" spans="2:26" x14ac:dyDescent="0.35">
      <c r="B14" s="91"/>
      <c r="C14" s="91"/>
      <c r="D14" s="91"/>
      <c r="E14" s="91"/>
      <c r="F14" s="91"/>
      <c r="G14" s="91"/>
      <c r="H14" s="91"/>
      <c r="I14" s="91"/>
      <c r="J14" s="91"/>
      <c r="K14" s="91"/>
      <c r="L14" s="91"/>
      <c r="M14" s="91"/>
      <c r="N14" s="91"/>
      <c r="O14" s="91"/>
      <c r="P14" s="91"/>
      <c r="Q14" s="91"/>
      <c r="R14" s="91"/>
      <c r="S14" s="91"/>
      <c r="T14" s="91"/>
      <c r="U14" s="91"/>
      <c r="V14" s="91"/>
      <c r="W14" s="91"/>
      <c r="X14" s="91"/>
      <c r="Y14" s="91"/>
      <c r="Z14" s="91"/>
    </row>
    <row r="15" spans="2:26" ht="21" customHeight="1" x14ac:dyDescent="0.35">
      <c r="B15" s="115" t="s">
        <v>26</v>
      </c>
      <c r="C15" s="115" t="s">
        <v>27</v>
      </c>
      <c r="D15" s="112" t="s">
        <v>0</v>
      </c>
      <c r="E15" s="115" t="s">
        <v>28</v>
      </c>
      <c r="F15" s="109"/>
      <c r="G15" s="110"/>
      <c r="H15" s="110"/>
      <c r="I15" s="110"/>
      <c r="J15" s="110"/>
      <c r="K15" s="111"/>
      <c r="L15" s="116" t="s">
        <v>29</v>
      </c>
      <c r="M15" s="116"/>
      <c r="N15" s="116"/>
      <c r="O15" s="116"/>
      <c r="P15" s="116"/>
      <c r="Q15" s="116"/>
      <c r="R15" s="116"/>
      <c r="S15" s="116"/>
      <c r="T15" s="116"/>
      <c r="U15" s="116"/>
      <c r="V15" s="116"/>
      <c r="W15" s="90" t="s">
        <v>30</v>
      </c>
      <c r="X15" s="90"/>
      <c r="Y15" s="90"/>
      <c r="Z15" s="90"/>
    </row>
    <row r="16" spans="2:26" ht="21" x14ac:dyDescent="0.35">
      <c r="B16" s="115"/>
      <c r="C16" s="115"/>
      <c r="D16" s="113"/>
      <c r="E16" s="115"/>
      <c r="F16" s="90" t="s">
        <v>31</v>
      </c>
      <c r="G16" s="90"/>
      <c r="H16" s="90"/>
      <c r="I16" s="90"/>
      <c r="J16" s="90"/>
      <c r="K16" s="90"/>
      <c r="L16" s="90"/>
      <c r="M16" s="90"/>
      <c r="N16" s="90"/>
      <c r="O16" s="90"/>
      <c r="P16" s="90"/>
      <c r="Q16" s="87"/>
      <c r="R16" s="88"/>
      <c r="S16" s="88"/>
      <c r="T16" s="88"/>
      <c r="U16" s="88"/>
      <c r="V16" s="89"/>
      <c r="W16" s="90"/>
      <c r="X16" s="90"/>
      <c r="Y16" s="90"/>
      <c r="Z16" s="90"/>
    </row>
    <row r="17" spans="2:26" ht="21" x14ac:dyDescent="0.35">
      <c r="B17" s="115"/>
      <c r="C17" s="115"/>
      <c r="D17" s="113"/>
      <c r="E17" s="115"/>
      <c r="F17" s="90" t="s">
        <v>32</v>
      </c>
      <c r="G17" s="90"/>
      <c r="H17" s="90"/>
      <c r="I17" s="90"/>
      <c r="J17" s="90"/>
      <c r="K17" s="90"/>
      <c r="L17" s="4"/>
      <c r="M17" s="5"/>
      <c r="N17" s="5"/>
      <c r="O17" s="5"/>
      <c r="P17" s="5"/>
      <c r="Q17" s="16"/>
      <c r="R17" s="16"/>
      <c r="S17" s="16"/>
      <c r="T17" s="16"/>
      <c r="U17" s="16"/>
      <c r="V17" s="17"/>
      <c r="W17" s="90"/>
      <c r="X17" s="90"/>
      <c r="Y17" s="90"/>
      <c r="Z17" s="90"/>
    </row>
    <row r="18" spans="2:26" x14ac:dyDescent="0.35">
      <c r="B18" s="115"/>
      <c r="C18" s="115"/>
      <c r="D18" s="113"/>
      <c r="E18" s="115"/>
      <c r="F18" s="117" t="s">
        <v>33</v>
      </c>
      <c r="G18" s="117"/>
      <c r="H18" s="117"/>
      <c r="I18" s="117"/>
      <c r="J18" s="117"/>
      <c r="K18" s="117"/>
      <c r="L18" s="117" t="s">
        <v>34</v>
      </c>
      <c r="M18" s="117"/>
      <c r="N18" s="117"/>
      <c r="O18" s="117"/>
      <c r="P18" s="117"/>
      <c r="Q18" s="117" t="s">
        <v>35</v>
      </c>
      <c r="R18" s="117"/>
      <c r="S18" s="117"/>
      <c r="T18" s="117"/>
      <c r="U18" s="117"/>
      <c r="V18" s="117"/>
      <c r="W18" s="90"/>
      <c r="X18" s="90"/>
      <c r="Y18" s="90"/>
      <c r="Z18" s="90"/>
    </row>
    <row r="19" spans="2:26" x14ac:dyDescent="0.35">
      <c r="B19" s="115"/>
      <c r="C19" s="115"/>
      <c r="D19" s="114"/>
      <c r="E19" s="115"/>
      <c r="F19" s="13" t="s">
        <v>36</v>
      </c>
      <c r="G19" s="13" t="s">
        <v>37</v>
      </c>
      <c r="H19" s="13" t="s">
        <v>38</v>
      </c>
      <c r="I19" s="13" t="s">
        <v>39</v>
      </c>
      <c r="J19" s="13" t="s">
        <v>40</v>
      </c>
      <c r="K19" s="13" t="s">
        <v>41</v>
      </c>
      <c r="L19" s="13" t="s">
        <v>42</v>
      </c>
      <c r="M19" s="13" t="s">
        <v>37</v>
      </c>
      <c r="N19" s="13" t="s">
        <v>38</v>
      </c>
      <c r="O19" s="13" t="s">
        <v>39</v>
      </c>
      <c r="P19" s="13" t="s">
        <v>40</v>
      </c>
      <c r="Q19" s="13" t="s">
        <v>43</v>
      </c>
      <c r="R19" s="13" t="s">
        <v>44</v>
      </c>
      <c r="S19" s="13" t="s">
        <v>37</v>
      </c>
      <c r="T19" s="13" t="s">
        <v>38</v>
      </c>
      <c r="U19" s="13" t="s">
        <v>39</v>
      </c>
      <c r="V19" s="13" t="s">
        <v>40</v>
      </c>
      <c r="W19" s="13" t="s">
        <v>37</v>
      </c>
      <c r="X19" s="13" t="s">
        <v>38</v>
      </c>
      <c r="Y19" s="13" t="s">
        <v>39</v>
      </c>
      <c r="Z19" s="13" t="s">
        <v>40</v>
      </c>
    </row>
    <row r="20" spans="2:26" x14ac:dyDescent="0.35">
      <c r="B20" s="84" t="s">
        <v>45</v>
      </c>
      <c r="C20" s="3" t="s">
        <v>46</v>
      </c>
      <c r="D20" s="1">
        <v>111</v>
      </c>
      <c r="E20" s="19"/>
      <c r="F20" s="3" t="s">
        <v>390</v>
      </c>
      <c r="G20" s="18"/>
      <c r="H20" s="18"/>
      <c r="I20" s="18"/>
      <c r="J20" s="3"/>
      <c r="K20" s="3">
        <v>0</v>
      </c>
      <c r="L20" s="3" t="s">
        <v>391</v>
      </c>
      <c r="M20" s="18">
        <v>204</v>
      </c>
      <c r="N20" s="18">
        <v>0</v>
      </c>
      <c r="O20" s="18">
        <v>0</v>
      </c>
      <c r="P20" s="3" t="str">
        <f>CONCATENATE(IF(M20&lt;16,CONCATENATE(0,DEC2HEX(M20)),DEC2HEX(M20)),IF(N20&lt;16,CONCATENATE(0,DEC2HEX(N20)),DEC2HEX(N20)),IF(O20&lt;16,CONCATENATE(0,DEC2HEX(O20)),DEC2HEX(O20)))</f>
        <v>CC0000</v>
      </c>
      <c r="Q20" s="8"/>
      <c r="R20" s="7"/>
      <c r="S20" s="3"/>
      <c r="T20" s="3"/>
      <c r="U20" s="3"/>
      <c r="V20" s="3" t="str">
        <f t="shared" ref="V20:V32" si="0">CONCATENATE(IF(S20&lt;16,CONCATENATE(0,DEC2HEX(S20)),DEC2HEX(S20)),IF(T20&lt;16,CONCATENATE(0,DEC2HEX(T20)),DEC2HEX(T20)),IF(U20&lt;16,CONCATENATE(0,DEC2HEX(U20)),DEC2HEX(U20)))</f>
        <v>000000</v>
      </c>
      <c r="W20" s="3"/>
      <c r="X20" s="3"/>
      <c r="Y20" s="3"/>
      <c r="Z20" s="3" t="str">
        <f t="shared" ref="Z20:Z32" si="1">CONCATENATE(IF(W20&lt;16,CONCATENATE(0,DEC2HEX(W20)),DEC2HEX(W20)),IF(X20&lt;16,CONCATENATE(0,DEC2HEX(X20)),DEC2HEX(X20)),IF(Y20&lt;16,CONCATENATE(0,DEC2HEX(Y20)),DEC2HEX(Y20)))</f>
        <v>000000</v>
      </c>
    </row>
    <row r="21" spans="2:26" x14ac:dyDescent="0.35">
      <c r="B21" s="84"/>
      <c r="C21" s="3" t="s">
        <v>47</v>
      </c>
      <c r="D21" s="1">
        <v>112</v>
      </c>
      <c r="E21" s="20"/>
      <c r="F21" s="3" t="s">
        <v>390</v>
      </c>
      <c r="G21" s="18"/>
      <c r="H21" s="18"/>
      <c r="I21" s="18"/>
      <c r="J21" s="3"/>
      <c r="K21" s="3">
        <v>0</v>
      </c>
      <c r="L21" s="3" t="s">
        <v>391</v>
      </c>
      <c r="M21" s="18">
        <v>248</v>
      </c>
      <c r="N21" s="18">
        <v>0</v>
      </c>
      <c r="O21" s="18">
        <v>0</v>
      </c>
      <c r="P21" s="3" t="str">
        <f t="shared" ref="P21:P32" si="2">CONCATENATE(IF(M21&lt;16,CONCATENATE(0,DEC2HEX(M21)),DEC2HEX(M21)),IF(N21&lt;16,CONCATENATE(0,DEC2HEX(N21)),DEC2HEX(N21)),IF(O21&lt;16,CONCATENATE(0,DEC2HEX(O21)),DEC2HEX(O21)))</f>
        <v>F80000</v>
      </c>
      <c r="Q21" s="10"/>
      <c r="R21" s="9"/>
      <c r="S21" s="1"/>
      <c r="T21" s="1"/>
      <c r="U21" s="1"/>
      <c r="V21" s="3" t="str">
        <f t="shared" si="0"/>
        <v>000000</v>
      </c>
      <c r="W21" s="1"/>
      <c r="X21" s="1"/>
      <c r="Y21" s="1"/>
      <c r="Z21" s="3" t="str">
        <f t="shared" si="1"/>
        <v>000000</v>
      </c>
    </row>
    <row r="22" spans="2:26" x14ac:dyDescent="0.35">
      <c r="B22" s="84"/>
      <c r="C22" s="3" t="s">
        <v>48</v>
      </c>
      <c r="D22" s="1">
        <v>121</v>
      </c>
      <c r="E22" s="21"/>
      <c r="F22" s="3" t="s">
        <v>390</v>
      </c>
      <c r="G22" s="18"/>
      <c r="H22" s="18"/>
      <c r="I22" s="18"/>
      <c r="J22" s="3"/>
      <c r="K22" s="3">
        <v>0</v>
      </c>
      <c r="L22" s="3" t="s">
        <v>391</v>
      </c>
      <c r="M22" s="18">
        <v>204</v>
      </c>
      <c r="N22" s="18">
        <v>77</v>
      </c>
      <c r="O22" s="18">
        <v>42</v>
      </c>
      <c r="P22" s="3" t="str">
        <f t="shared" si="2"/>
        <v>CC4D2A</v>
      </c>
      <c r="Q22" s="10"/>
      <c r="R22" s="9"/>
      <c r="S22" s="1"/>
      <c r="T22" s="1"/>
      <c r="U22" s="1"/>
      <c r="V22" s="3" t="str">
        <f t="shared" si="0"/>
        <v>000000</v>
      </c>
      <c r="W22" s="1"/>
      <c r="X22" s="1"/>
      <c r="Y22" s="1"/>
      <c r="Z22" s="3" t="str">
        <f t="shared" si="1"/>
        <v>000000</v>
      </c>
    </row>
    <row r="23" spans="2:26" x14ac:dyDescent="0.35">
      <c r="B23" s="84"/>
      <c r="C23" s="3" t="s">
        <v>49</v>
      </c>
      <c r="D23" s="1">
        <v>122</v>
      </c>
      <c r="E23" s="22"/>
      <c r="F23" s="3" t="s">
        <v>390</v>
      </c>
      <c r="G23" s="18"/>
      <c r="H23" s="18"/>
      <c r="I23" s="18"/>
      <c r="J23" s="3"/>
      <c r="K23" s="3">
        <v>0</v>
      </c>
      <c r="L23" s="3" t="s">
        <v>391</v>
      </c>
      <c r="M23" s="18">
        <v>217</v>
      </c>
      <c r="N23" s="18">
        <v>101</v>
      </c>
      <c r="O23" s="18">
        <v>69</v>
      </c>
      <c r="P23" s="3" t="str">
        <f t="shared" si="2"/>
        <v>D96545</v>
      </c>
      <c r="Q23" s="10"/>
      <c r="R23" s="9"/>
      <c r="S23" s="1"/>
      <c r="T23" s="1"/>
      <c r="U23" s="1"/>
      <c r="V23" s="3" t="str">
        <f t="shared" si="0"/>
        <v>000000</v>
      </c>
      <c r="W23" s="1"/>
      <c r="X23" s="1"/>
      <c r="Y23" s="1"/>
      <c r="Z23" s="3" t="str">
        <f t="shared" si="1"/>
        <v>000000</v>
      </c>
    </row>
    <row r="24" spans="2:26" x14ac:dyDescent="0.35">
      <c r="B24" s="84"/>
      <c r="C24" s="3" t="s">
        <v>50</v>
      </c>
      <c r="D24" s="1">
        <v>123</v>
      </c>
      <c r="E24" s="23"/>
      <c r="F24" s="3" t="s">
        <v>390</v>
      </c>
      <c r="G24" s="18"/>
      <c r="H24" s="18"/>
      <c r="I24" s="18"/>
      <c r="J24" s="3"/>
      <c r="K24" s="3">
        <v>0</v>
      </c>
      <c r="L24" s="3" t="s">
        <v>391</v>
      </c>
      <c r="M24" s="18">
        <v>225</v>
      </c>
      <c r="N24" s="18">
        <v>132</v>
      </c>
      <c r="O24" s="18">
        <v>107</v>
      </c>
      <c r="P24" s="3" t="str">
        <f t="shared" si="2"/>
        <v>E1846B</v>
      </c>
      <c r="Q24" s="10"/>
      <c r="R24" s="9"/>
      <c r="S24" s="1"/>
      <c r="T24" s="1"/>
      <c r="U24" s="1"/>
      <c r="V24" s="3" t="str">
        <f t="shared" si="0"/>
        <v>000000</v>
      </c>
      <c r="W24" s="1"/>
      <c r="X24" s="1"/>
      <c r="Y24" s="1"/>
      <c r="Z24" s="3" t="str">
        <f t="shared" si="1"/>
        <v>000000</v>
      </c>
    </row>
    <row r="25" spans="2:26" x14ac:dyDescent="0.35">
      <c r="B25" s="84"/>
      <c r="C25" s="3" t="s">
        <v>51</v>
      </c>
      <c r="D25" s="1">
        <v>124</v>
      </c>
      <c r="E25" s="24"/>
      <c r="F25" s="3" t="s">
        <v>390</v>
      </c>
      <c r="G25" s="18"/>
      <c r="H25" s="18"/>
      <c r="I25" s="18"/>
      <c r="J25" s="3"/>
      <c r="K25" s="3">
        <v>0</v>
      </c>
      <c r="L25" s="3" t="s">
        <v>391</v>
      </c>
      <c r="M25" s="18">
        <v>231</v>
      </c>
      <c r="N25" s="18">
        <v>156</v>
      </c>
      <c r="O25" s="18">
        <v>135</v>
      </c>
      <c r="P25" s="3" t="str">
        <f t="shared" si="2"/>
        <v>E79C87</v>
      </c>
      <c r="Q25" s="9"/>
      <c r="R25" s="9"/>
      <c r="S25" s="9"/>
      <c r="T25" s="9"/>
      <c r="U25" s="9"/>
      <c r="V25" s="3" t="str">
        <f t="shared" si="0"/>
        <v>000000</v>
      </c>
      <c r="W25" s="9"/>
      <c r="X25" s="9"/>
      <c r="Y25" s="9"/>
      <c r="Z25" s="3" t="str">
        <f t="shared" si="1"/>
        <v>000000</v>
      </c>
    </row>
    <row r="26" spans="2:26" x14ac:dyDescent="0.35">
      <c r="B26" s="84"/>
      <c r="C26" s="3" t="s">
        <v>52</v>
      </c>
      <c r="D26" s="1">
        <v>125</v>
      </c>
      <c r="E26" s="25"/>
      <c r="F26" s="3" t="s">
        <v>390</v>
      </c>
      <c r="G26" s="18"/>
      <c r="H26" s="18"/>
      <c r="I26" s="18"/>
      <c r="J26" s="3"/>
      <c r="K26" s="3">
        <v>0</v>
      </c>
      <c r="L26" s="3" t="s">
        <v>391</v>
      </c>
      <c r="M26" s="18">
        <v>238</v>
      </c>
      <c r="N26" s="18">
        <v>185</v>
      </c>
      <c r="O26" s="18">
        <v>170</v>
      </c>
      <c r="P26" s="3" t="str">
        <f t="shared" si="2"/>
        <v>EEB9AA</v>
      </c>
      <c r="Q26" s="1"/>
      <c r="R26" s="1"/>
      <c r="S26" s="1"/>
      <c r="T26" s="1"/>
      <c r="U26" s="1"/>
      <c r="V26" s="3" t="str">
        <f t="shared" si="0"/>
        <v>000000</v>
      </c>
      <c r="W26" s="1"/>
      <c r="X26" s="1"/>
      <c r="Y26" s="1"/>
      <c r="Z26" s="3" t="str">
        <f t="shared" si="1"/>
        <v>000000</v>
      </c>
    </row>
    <row r="27" spans="2:26" x14ac:dyDescent="0.35">
      <c r="B27" s="84"/>
      <c r="C27" s="3" t="s">
        <v>53</v>
      </c>
      <c r="D27" s="1">
        <v>131</v>
      </c>
      <c r="E27" s="55"/>
      <c r="F27" s="3" t="s">
        <v>390</v>
      </c>
      <c r="G27" s="18"/>
      <c r="H27" s="18"/>
      <c r="I27" s="18"/>
      <c r="J27" s="3"/>
      <c r="K27" s="3">
        <v>0</v>
      </c>
      <c r="L27" s="3" t="s">
        <v>391</v>
      </c>
      <c r="M27" s="18">
        <v>166</v>
      </c>
      <c r="N27" s="18">
        <v>0</v>
      </c>
      <c r="O27" s="18">
        <v>204</v>
      </c>
      <c r="P27" s="3" t="str">
        <f t="shared" si="2"/>
        <v>A600CC</v>
      </c>
      <c r="Q27" s="1"/>
      <c r="R27" s="1"/>
      <c r="S27" s="1"/>
      <c r="T27" s="1"/>
      <c r="U27" s="1"/>
      <c r="V27" s="3" t="str">
        <f t="shared" si="0"/>
        <v>000000</v>
      </c>
      <c r="W27" s="1"/>
      <c r="X27" s="1"/>
      <c r="Y27" s="1"/>
      <c r="Z27" s="3" t="str">
        <f t="shared" si="1"/>
        <v>000000</v>
      </c>
    </row>
    <row r="28" spans="2:26" x14ac:dyDescent="0.35">
      <c r="B28" s="84"/>
      <c r="C28" s="3" t="s">
        <v>54</v>
      </c>
      <c r="D28" s="1">
        <v>132</v>
      </c>
      <c r="E28" s="56"/>
      <c r="F28" s="3" t="s">
        <v>390</v>
      </c>
      <c r="G28" s="18"/>
      <c r="H28" s="18"/>
      <c r="I28" s="18"/>
      <c r="J28" s="3"/>
      <c r="K28" s="3">
        <v>0</v>
      </c>
      <c r="L28" s="3" t="s">
        <v>391</v>
      </c>
      <c r="M28" s="18">
        <v>211</v>
      </c>
      <c r="N28" s="18">
        <v>23</v>
      </c>
      <c r="O28" s="18">
        <v>255</v>
      </c>
      <c r="P28" s="3" t="str">
        <f t="shared" si="2"/>
        <v>D317FF</v>
      </c>
      <c r="Q28" s="1"/>
      <c r="R28" s="1"/>
      <c r="S28" s="1"/>
      <c r="T28" s="1"/>
      <c r="U28" s="1"/>
      <c r="V28" s="3" t="str">
        <f t="shared" si="0"/>
        <v>000000</v>
      </c>
      <c r="W28" s="1"/>
      <c r="X28" s="1"/>
      <c r="Y28" s="1"/>
      <c r="Z28" s="3" t="str">
        <f t="shared" si="1"/>
        <v>000000</v>
      </c>
    </row>
    <row r="29" spans="2:26" x14ac:dyDescent="0.35">
      <c r="B29" s="84"/>
      <c r="C29" s="3" t="s">
        <v>55</v>
      </c>
      <c r="D29" s="1">
        <v>141</v>
      </c>
      <c r="E29" s="26"/>
      <c r="F29" s="3" t="s">
        <v>390</v>
      </c>
      <c r="G29" s="18"/>
      <c r="H29" s="18"/>
      <c r="I29" s="18"/>
      <c r="J29" s="3"/>
      <c r="K29" s="3">
        <v>0</v>
      </c>
      <c r="L29" s="3" t="s">
        <v>391</v>
      </c>
      <c r="M29" s="18">
        <v>255</v>
      </c>
      <c r="N29" s="18">
        <v>128</v>
      </c>
      <c r="O29" s="18">
        <v>128</v>
      </c>
      <c r="P29" s="3" t="str">
        <f t="shared" si="2"/>
        <v>FF8080</v>
      </c>
      <c r="Q29" s="1"/>
      <c r="R29" s="1"/>
      <c r="S29" s="1"/>
      <c r="T29" s="1"/>
      <c r="U29" s="1"/>
      <c r="V29" s="3" t="str">
        <f t="shared" si="0"/>
        <v>000000</v>
      </c>
      <c r="W29" s="1"/>
      <c r="X29" s="1"/>
      <c r="Y29" s="1"/>
      <c r="Z29" s="3" t="str">
        <f t="shared" si="1"/>
        <v>000000</v>
      </c>
    </row>
    <row r="30" spans="2:26" x14ac:dyDescent="0.35">
      <c r="B30" s="84"/>
      <c r="C30" s="3" t="s">
        <v>56</v>
      </c>
      <c r="D30" s="1">
        <v>142</v>
      </c>
      <c r="E30" s="57"/>
      <c r="F30" s="3" t="s">
        <v>390</v>
      </c>
      <c r="G30" s="18"/>
      <c r="H30" s="18"/>
      <c r="I30" s="18"/>
      <c r="J30" s="3"/>
      <c r="K30" s="3">
        <v>0</v>
      </c>
      <c r="L30" s="3" t="s">
        <v>391</v>
      </c>
      <c r="M30" s="18">
        <v>255</v>
      </c>
      <c r="N30" s="18">
        <v>175</v>
      </c>
      <c r="O30" s="18">
        <v>175</v>
      </c>
      <c r="P30" s="3" t="str">
        <f t="shared" si="2"/>
        <v>FFAFAF</v>
      </c>
      <c r="Q30" s="1"/>
      <c r="R30" s="1"/>
      <c r="S30" s="1"/>
      <c r="T30" s="1"/>
      <c r="U30" s="1"/>
      <c r="V30" s="3" t="str">
        <f t="shared" si="0"/>
        <v>000000</v>
      </c>
      <c r="W30" s="1"/>
      <c r="X30" s="1"/>
      <c r="Y30" s="1"/>
      <c r="Z30" s="3" t="str">
        <f t="shared" si="1"/>
        <v>000000</v>
      </c>
    </row>
    <row r="31" spans="2:26" x14ac:dyDescent="0.35">
      <c r="B31" s="84"/>
      <c r="C31" s="3" t="s">
        <v>57</v>
      </c>
      <c r="D31" s="1">
        <v>211</v>
      </c>
      <c r="E31" s="27"/>
      <c r="F31" s="3" t="s">
        <v>390</v>
      </c>
      <c r="G31" s="18"/>
      <c r="H31" s="18"/>
      <c r="I31" s="18"/>
      <c r="J31" s="3"/>
      <c r="K31" s="3">
        <v>0</v>
      </c>
      <c r="L31" s="3" t="s">
        <v>391</v>
      </c>
      <c r="M31" s="18">
        <v>255</v>
      </c>
      <c r="N31" s="18">
        <v>255</v>
      </c>
      <c r="O31" s="18">
        <v>166</v>
      </c>
      <c r="P31" s="3" t="str">
        <f t="shared" si="2"/>
        <v>FFFFA6</v>
      </c>
      <c r="Q31" s="1"/>
      <c r="R31" s="1"/>
      <c r="S31" s="1"/>
      <c r="T31" s="1"/>
      <c r="U31" s="1"/>
      <c r="V31" s="3" t="str">
        <f t="shared" si="0"/>
        <v>000000</v>
      </c>
      <c r="W31" s="1"/>
      <c r="X31" s="1"/>
      <c r="Y31" s="1"/>
      <c r="Z31" s="3" t="str">
        <f t="shared" si="1"/>
        <v>000000</v>
      </c>
    </row>
    <row r="32" spans="2:26" x14ac:dyDescent="0.35">
      <c r="B32" s="84"/>
      <c r="C32" s="3" t="s">
        <v>58</v>
      </c>
      <c r="D32" s="1">
        <v>212</v>
      </c>
      <c r="E32" s="29"/>
      <c r="F32" s="3" t="s">
        <v>390</v>
      </c>
      <c r="G32" s="18"/>
      <c r="H32" s="18"/>
      <c r="I32" s="18"/>
      <c r="J32" s="3"/>
      <c r="K32" s="3">
        <v>0</v>
      </c>
      <c r="L32" s="3" t="s">
        <v>391</v>
      </c>
      <c r="M32" s="18">
        <v>238</v>
      </c>
      <c r="N32" s="18">
        <v>232</v>
      </c>
      <c r="O32" s="18">
        <v>0</v>
      </c>
      <c r="P32" s="3" t="str">
        <f t="shared" si="2"/>
        <v>EEE800</v>
      </c>
      <c r="Q32" s="1"/>
      <c r="R32" s="1"/>
      <c r="S32" s="1"/>
      <c r="T32" s="1"/>
      <c r="U32" s="1"/>
      <c r="V32" s="3" t="str">
        <f t="shared" si="0"/>
        <v>000000</v>
      </c>
      <c r="W32" s="1"/>
      <c r="X32" s="1"/>
      <c r="Y32" s="1"/>
      <c r="Z32" s="3" t="str">
        <f t="shared" si="1"/>
        <v>000000</v>
      </c>
    </row>
    <row r="33" spans="2:26" x14ac:dyDescent="0.35">
      <c r="B33" s="84"/>
      <c r="C33" s="3" t="s">
        <v>59</v>
      </c>
      <c r="D33" s="1">
        <v>213</v>
      </c>
      <c r="E33" s="28"/>
      <c r="F33" s="3" t="s">
        <v>390</v>
      </c>
      <c r="G33" s="18"/>
      <c r="H33" s="18"/>
      <c r="I33" s="18"/>
      <c r="J33" s="3"/>
      <c r="K33" s="3">
        <v>0</v>
      </c>
      <c r="L33" s="3" t="s">
        <v>391</v>
      </c>
      <c r="M33" s="18">
        <v>255</v>
      </c>
      <c r="N33" s="18">
        <v>255</v>
      </c>
      <c r="O33" s="18">
        <v>95</v>
      </c>
      <c r="P33" s="3" t="str">
        <f t="shared" ref="P33:P73" si="3">CONCATENATE(IF(M33&lt;16,CONCATENATE(0,DEC2HEX(M33)),DEC2HEX(M33)),IF(N33&lt;16,CONCATENATE(0,DEC2HEX(N33)),DEC2HEX(N33)),IF(O33&lt;16,CONCATENATE(0,DEC2HEX(O33)),DEC2HEX(O33)))</f>
        <v>FFFF5F</v>
      </c>
      <c r="Q33" s="1"/>
      <c r="R33" s="1"/>
      <c r="S33" s="1"/>
      <c r="T33" s="1"/>
      <c r="U33" s="1"/>
      <c r="V33" s="3" t="str">
        <f t="shared" ref="V33:V73" si="4">CONCATENATE(IF(S33&lt;16,CONCATENATE(0,DEC2HEX(S33)),DEC2HEX(S33)),IF(T33&lt;16,CONCATENATE(0,DEC2HEX(T33)),DEC2HEX(T33)),IF(U33&lt;16,CONCATENATE(0,DEC2HEX(U33)),DEC2HEX(U33)))</f>
        <v>000000</v>
      </c>
      <c r="W33" s="1"/>
      <c r="X33" s="1"/>
      <c r="Y33" s="1"/>
      <c r="Z33" s="3" t="str">
        <f t="shared" ref="Z33:Z73" si="5">CONCATENATE(IF(W33&lt;16,CONCATENATE(0,DEC2HEX(W33)),DEC2HEX(W33)),IF(X33&lt;16,CONCATENATE(0,DEC2HEX(X33)),DEC2HEX(X33)),IF(Y33&lt;16,CONCATENATE(0,DEC2HEX(Y33)),DEC2HEX(Y33)))</f>
        <v>000000</v>
      </c>
    </row>
    <row r="34" spans="2:26" x14ac:dyDescent="0.35">
      <c r="B34" s="84"/>
      <c r="C34" s="3" t="s">
        <v>60</v>
      </c>
      <c r="D34" s="1">
        <v>214</v>
      </c>
      <c r="E34" s="58"/>
      <c r="F34" s="3" t="s">
        <v>390</v>
      </c>
      <c r="G34" s="18"/>
      <c r="H34" s="18"/>
      <c r="I34" s="18"/>
      <c r="J34" s="3"/>
      <c r="K34" s="3">
        <v>0</v>
      </c>
      <c r="L34" s="3" t="s">
        <v>391</v>
      </c>
      <c r="M34" s="18">
        <v>225</v>
      </c>
      <c r="N34" s="18">
        <v>210</v>
      </c>
      <c r="O34" s="18">
        <v>0</v>
      </c>
      <c r="P34" s="3" t="str">
        <f t="shared" si="3"/>
        <v>E1D200</v>
      </c>
      <c r="Q34" s="1"/>
      <c r="R34" s="1"/>
      <c r="S34" s="1"/>
      <c r="T34" s="1"/>
      <c r="U34" s="1"/>
      <c r="V34" s="3" t="str">
        <f t="shared" si="4"/>
        <v>000000</v>
      </c>
      <c r="W34" s="1"/>
      <c r="X34" s="1"/>
      <c r="Y34" s="1"/>
      <c r="Z34" s="3" t="str">
        <f t="shared" si="5"/>
        <v>000000</v>
      </c>
    </row>
    <row r="35" spans="2:26" x14ac:dyDescent="0.35">
      <c r="B35" s="84"/>
      <c r="C35" s="3" t="s">
        <v>61</v>
      </c>
      <c r="D35" s="1">
        <v>215</v>
      </c>
      <c r="E35" s="59"/>
      <c r="F35" s="3" t="s">
        <v>390</v>
      </c>
      <c r="G35" s="18"/>
      <c r="H35" s="18"/>
      <c r="I35" s="18"/>
      <c r="J35" s="3"/>
      <c r="K35" s="3">
        <v>0</v>
      </c>
      <c r="L35" s="3" t="s">
        <v>391</v>
      </c>
      <c r="M35" s="18">
        <v>210</v>
      </c>
      <c r="N35" s="18">
        <v>205</v>
      </c>
      <c r="O35" s="18">
        <v>0</v>
      </c>
      <c r="P35" s="3" t="str">
        <f t="shared" si="3"/>
        <v>D2CD00</v>
      </c>
      <c r="Q35" s="1"/>
      <c r="R35" s="1"/>
      <c r="S35" s="1"/>
      <c r="T35" s="1"/>
      <c r="U35" s="1"/>
      <c r="V35" s="3" t="str">
        <f t="shared" si="4"/>
        <v>000000</v>
      </c>
      <c r="W35" s="1"/>
      <c r="X35" s="1"/>
      <c r="Y35" s="1"/>
      <c r="Z35" s="3" t="str">
        <f t="shared" si="5"/>
        <v>000000</v>
      </c>
    </row>
    <row r="36" spans="2:26" x14ac:dyDescent="0.35">
      <c r="B36" s="84"/>
      <c r="C36" s="3" t="s">
        <v>62</v>
      </c>
      <c r="D36" s="1">
        <v>221</v>
      </c>
      <c r="E36" s="60"/>
      <c r="F36" s="3" t="s">
        <v>390</v>
      </c>
      <c r="G36" s="18"/>
      <c r="H36" s="18"/>
      <c r="I36" s="18"/>
      <c r="J36" s="3"/>
      <c r="K36" s="3">
        <v>0</v>
      </c>
      <c r="L36" s="3" t="s">
        <v>391</v>
      </c>
      <c r="M36" s="18">
        <v>242</v>
      </c>
      <c r="N36" s="18">
        <v>204</v>
      </c>
      <c r="O36" s="18">
        <v>166</v>
      </c>
      <c r="P36" s="3" t="str">
        <f t="shared" si="3"/>
        <v>F2CCA6</v>
      </c>
      <c r="Q36" s="1"/>
      <c r="R36" s="1"/>
      <c r="S36" s="1"/>
      <c r="T36" s="1"/>
      <c r="U36" s="1"/>
      <c r="V36" s="3" t="str">
        <f t="shared" si="4"/>
        <v>000000</v>
      </c>
      <c r="W36" s="1"/>
      <c r="X36" s="1"/>
      <c r="Y36" s="1"/>
      <c r="Z36" s="3" t="str">
        <f t="shared" si="5"/>
        <v>000000</v>
      </c>
    </row>
    <row r="37" spans="2:26" x14ac:dyDescent="0.35">
      <c r="B37" s="84"/>
      <c r="C37" s="3" t="s">
        <v>63</v>
      </c>
      <c r="D37" s="1">
        <v>222</v>
      </c>
      <c r="E37" s="61"/>
      <c r="F37" s="3" t="s">
        <v>390</v>
      </c>
      <c r="G37" s="18"/>
      <c r="H37" s="18"/>
      <c r="I37" s="18"/>
      <c r="J37" s="3"/>
      <c r="K37" s="3">
        <v>0</v>
      </c>
      <c r="L37" s="3" t="s">
        <v>391</v>
      </c>
      <c r="M37" s="18">
        <v>242</v>
      </c>
      <c r="N37" s="18">
        <v>166</v>
      </c>
      <c r="O37" s="18">
        <v>77</v>
      </c>
      <c r="P37" s="3" t="str">
        <f t="shared" si="3"/>
        <v>F2A64D</v>
      </c>
      <c r="Q37" s="1"/>
      <c r="R37" s="1"/>
      <c r="S37" s="1"/>
      <c r="T37" s="1"/>
      <c r="U37" s="1"/>
      <c r="V37" s="3" t="str">
        <f t="shared" si="4"/>
        <v>000000</v>
      </c>
      <c r="W37" s="1"/>
      <c r="X37" s="1"/>
      <c r="Y37" s="1"/>
      <c r="Z37" s="3" t="str">
        <f t="shared" si="5"/>
        <v>000000</v>
      </c>
    </row>
    <row r="38" spans="2:26" x14ac:dyDescent="0.35">
      <c r="B38" s="84"/>
      <c r="C38" s="3" t="s">
        <v>64</v>
      </c>
      <c r="D38" s="1">
        <v>223</v>
      </c>
      <c r="E38" s="62"/>
      <c r="F38" s="3" t="s">
        <v>390</v>
      </c>
      <c r="G38" s="18"/>
      <c r="H38" s="18"/>
      <c r="I38" s="18"/>
      <c r="J38" s="3"/>
      <c r="K38" s="3">
        <v>0</v>
      </c>
      <c r="L38" s="3" t="s">
        <v>391</v>
      </c>
      <c r="M38" s="18">
        <v>230</v>
      </c>
      <c r="N38" s="18">
        <v>166</v>
      </c>
      <c r="O38" s="18">
        <v>0</v>
      </c>
      <c r="P38" s="3" t="str">
        <f t="shared" si="3"/>
        <v>E6A600</v>
      </c>
      <c r="Q38" s="1"/>
      <c r="R38" s="1"/>
      <c r="S38" s="1"/>
      <c r="T38" s="1"/>
      <c r="U38" s="1"/>
      <c r="V38" s="3" t="str">
        <f t="shared" si="4"/>
        <v>000000</v>
      </c>
      <c r="W38" s="1"/>
      <c r="X38" s="1"/>
      <c r="Y38" s="1"/>
      <c r="Z38" s="3" t="str">
        <f t="shared" si="5"/>
        <v>000000</v>
      </c>
    </row>
    <row r="39" spans="2:26" x14ac:dyDescent="0.35">
      <c r="B39" s="84"/>
      <c r="C39" s="3" t="s">
        <v>65</v>
      </c>
      <c r="D39" s="1">
        <v>224</v>
      </c>
      <c r="E39" s="63"/>
      <c r="F39" s="3" t="s">
        <v>390</v>
      </c>
      <c r="G39" s="18"/>
      <c r="H39" s="18"/>
      <c r="I39" s="18"/>
      <c r="J39" s="3"/>
      <c r="K39" s="3">
        <v>0</v>
      </c>
      <c r="L39" s="3" t="s">
        <v>391</v>
      </c>
      <c r="M39" s="18">
        <v>204</v>
      </c>
      <c r="N39" s="18">
        <v>144</v>
      </c>
      <c r="O39" s="18">
        <v>10</v>
      </c>
      <c r="P39" s="3" t="str">
        <f t="shared" si="3"/>
        <v>CC900A</v>
      </c>
      <c r="Q39" s="1"/>
      <c r="R39" s="1"/>
      <c r="S39" s="1"/>
      <c r="T39" s="1"/>
      <c r="U39" s="1"/>
      <c r="V39" s="3" t="str">
        <f t="shared" si="4"/>
        <v>000000</v>
      </c>
      <c r="W39" s="1"/>
      <c r="X39" s="1"/>
      <c r="Y39" s="1"/>
      <c r="Z39" s="3" t="str">
        <f t="shared" si="5"/>
        <v>000000</v>
      </c>
    </row>
    <row r="40" spans="2:26" x14ac:dyDescent="0.35">
      <c r="B40" s="84"/>
      <c r="C40" s="3" t="s">
        <v>66</v>
      </c>
      <c r="D40" s="1">
        <v>225</v>
      </c>
      <c r="E40" s="64"/>
      <c r="F40" s="3" t="s">
        <v>390</v>
      </c>
      <c r="G40" s="18"/>
      <c r="H40" s="18"/>
      <c r="I40" s="18"/>
      <c r="J40" s="3"/>
      <c r="K40" s="3">
        <v>0</v>
      </c>
      <c r="L40" s="3" t="s">
        <v>391</v>
      </c>
      <c r="M40" s="18">
        <v>130</v>
      </c>
      <c r="N40" s="18">
        <v>74</v>
      </c>
      <c r="O40" s="18">
        <v>18</v>
      </c>
      <c r="P40" s="3" t="str">
        <f t="shared" si="3"/>
        <v>824A12</v>
      </c>
      <c r="Q40" s="1"/>
      <c r="R40" s="1"/>
      <c r="S40" s="1"/>
      <c r="T40" s="1"/>
      <c r="U40" s="1"/>
      <c r="V40" s="3" t="str">
        <f t="shared" si="4"/>
        <v>000000</v>
      </c>
      <c r="W40" s="1"/>
      <c r="X40" s="1"/>
      <c r="Y40" s="1"/>
      <c r="Z40" s="3" t="str">
        <f t="shared" si="5"/>
        <v>000000</v>
      </c>
    </row>
    <row r="41" spans="2:26" x14ac:dyDescent="0.35">
      <c r="B41" s="84"/>
      <c r="C41" s="3" t="s">
        <v>67</v>
      </c>
      <c r="D41" s="1">
        <v>231</v>
      </c>
      <c r="E41" s="30"/>
      <c r="F41" s="3" t="s">
        <v>390</v>
      </c>
      <c r="G41" s="18"/>
      <c r="H41" s="18"/>
      <c r="I41" s="18"/>
      <c r="J41" s="3"/>
      <c r="K41" s="3">
        <v>0</v>
      </c>
      <c r="L41" s="3" t="s">
        <v>391</v>
      </c>
      <c r="M41" s="18">
        <v>204</v>
      </c>
      <c r="N41" s="18">
        <v>255</v>
      </c>
      <c r="O41" s="18">
        <v>204</v>
      </c>
      <c r="P41" s="3" t="str">
        <f t="shared" si="3"/>
        <v>CCFFCC</v>
      </c>
      <c r="Q41" s="1"/>
      <c r="R41" s="1"/>
      <c r="S41" s="1"/>
      <c r="T41" s="1"/>
      <c r="U41" s="1"/>
      <c r="V41" s="3" t="str">
        <f t="shared" si="4"/>
        <v>000000</v>
      </c>
      <c r="W41" s="1"/>
      <c r="X41" s="1"/>
      <c r="Y41" s="1"/>
      <c r="Z41" s="3" t="str">
        <f t="shared" si="5"/>
        <v>000000</v>
      </c>
    </row>
    <row r="42" spans="2:26" x14ac:dyDescent="0.35">
      <c r="B42" s="84"/>
      <c r="C42" s="3" t="s">
        <v>68</v>
      </c>
      <c r="D42" s="1">
        <v>232</v>
      </c>
      <c r="E42" s="31"/>
      <c r="F42" s="3" t="s">
        <v>390</v>
      </c>
      <c r="G42" s="18"/>
      <c r="H42" s="18"/>
      <c r="I42" s="18"/>
      <c r="J42" s="3"/>
      <c r="K42" s="3">
        <v>0</v>
      </c>
      <c r="L42" s="3" t="s">
        <v>391</v>
      </c>
      <c r="M42" s="18">
        <v>158</v>
      </c>
      <c r="N42" s="18">
        <v>255</v>
      </c>
      <c r="O42" s="18">
        <v>158</v>
      </c>
      <c r="P42" s="3" t="str">
        <f t="shared" si="3"/>
        <v>9EFF9E</v>
      </c>
      <c r="Q42" s="1"/>
      <c r="R42" s="1"/>
      <c r="S42" s="1"/>
      <c r="T42" s="1"/>
      <c r="U42" s="1"/>
      <c r="V42" s="3" t="str">
        <f t="shared" si="4"/>
        <v>000000</v>
      </c>
      <c r="W42" s="1"/>
      <c r="X42" s="1"/>
      <c r="Y42" s="1"/>
      <c r="Z42" s="3" t="str">
        <f t="shared" si="5"/>
        <v>000000</v>
      </c>
    </row>
    <row r="43" spans="2:26" x14ac:dyDescent="0.35">
      <c r="B43" s="84"/>
      <c r="C43" s="3" t="s">
        <v>69</v>
      </c>
      <c r="D43" s="1">
        <v>233</v>
      </c>
      <c r="E43" s="32"/>
      <c r="F43" s="3" t="s">
        <v>390</v>
      </c>
      <c r="G43" s="18"/>
      <c r="H43" s="18"/>
      <c r="I43" s="18"/>
      <c r="J43" s="3"/>
      <c r="K43" s="3">
        <v>0</v>
      </c>
      <c r="L43" s="3" t="s">
        <v>391</v>
      </c>
      <c r="M43" s="18">
        <v>158</v>
      </c>
      <c r="N43" s="18">
        <v>255</v>
      </c>
      <c r="O43" s="18">
        <v>200</v>
      </c>
      <c r="P43" s="3" t="str">
        <f t="shared" si="3"/>
        <v>9EFFC8</v>
      </c>
      <c r="Q43" s="1"/>
      <c r="R43" s="1"/>
      <c r="S43" s="1"/>
      <c r="T43" s="1"/>
      <c r="U43" s="1"/>
      <c r="V43" s="3" t="str">
        <f t="shared" si="4"/>
        <v>000000</v>
      </c>
      <c r="W43" s="1"/>
      <c r="X43" s="1"/>
      <c r="Y43" s="1"/>
      <c r="Z43" s="3" t="str">
        <f t="shared" si="5"/>
        <v>000000</v>
      </c>
    </row>
    <row r="44" spans="2:26" x14ac:dyDescent="0.35">
      <c r="B44" s="84"/>
      <c r="C44" s="3" t="s">
        <v>70</v>
      </c>
      <c r="D44" s="1">
        <v>241</v>
      </c>
      <c r="E44" s="33"/>
      <c r="F44" s="3" t="s">
        <v>390</v>
      </c>
      <c r="G44" s="18"/>
      <c r="H44" s="18"/>
      <c r="I44" s="18"/>
      <c r="J44" s="3"/>
      <c r="K44" s="3">
        <v>0</v>
      </c>
      <c r="L44" s="3" t="s">
        <v>391</v>
      </c>
      <c r="M44" s="18">
        <v>255</v>
      </c>
      <c r="N44" s="18">
        <v>230</v>
      </c>
      <c r="O44" s="18">
        <v>166</v>
      </c>
      <c r="P44" s="3" t="str">
        <f t="shared" si="3"/>
        <v>FFE6A6</v>
      </c>
      <c r="Q44" s="1"/>
      <c r="R44" s="1"/>
      <c r="S44" s="1"/>
      <c r="T44" s="1"/>
      <c r="U44" s="1"/>
      <c r="V44" s="3" t="str">
        <f t="shared" si="4"/>
        <v>000000</v>
      </c>
      <c r="W44" s="1"/>
      <c r="X44" s="1"/>
      <c r="Y44" s="1"/>
      <c r="Z44" s="3" t="str">
        <f t="shared" si="5"/>
        <v>000000</v>
      </c>
    </row>
    <row r="45" spans="2:26" x14ac:dyDescent="0.35">
      <c r="B45" s="84"/>
      <c r="C45" s="3" t="s">
        <v>71</v>
      </c>
      <c r="D45" s="1">
        <v>242</v>
      </c>
      <c r="E45" s="34"/>
      <c r="F45" s="3" t="s">
        <v>390</v>
      </c>
      <c r="G45" s="18"/>
      <c r="H45" s="18"/>
      <c r="I45" s="18"/>
      <c r="J45" s="3"/>
      <c r="K45" s="3">
        <v>0</v>
      </c>
      <c r="L45" s="3" t="s">
        <v>391</v>
      </c>
      <c r="M45" s="18">
        <v>255</v>
      </c>
      <c r="N45" s="18">
        <v>216</v>
      </c>
      <c r="O45" s="18">
        <v>117</v>
      </c>
      <c r="P45" s="3" t="str">
        <f t="shared" si="3"/>
        <v>FFD875</v>
      </c>
      <c r="Q45" s="1"/>
      <c r="R45" s="1"/>
      <c r="S45" s="1"/>
      <c r="T45" s="1"/>
      <c r="U45" s="1"/>
      <c r="V45" s="3" t="str">
        <f t="shared" si="4"/>
        <v>000000</v>
      </c>
      <c r="W45" s="1"/>
      <c r="X45" s="1"/>
      <c r="Y45" s="1"/>
      <c r="Z45" s="3" t="str">
        <f t="shared" si="5"/>
        <v>000000</v>
      </c>
    </row>
    <row r="46" spans="2:26" x14ac:dyDescent="0.35">
      <c r="B46" s="84"/>
      <c r="C46" s="3" t="s">
        <v>72</v>
      </c>
      <c r="D46" s="1">
        <v>243</v>
      </c>
      <c r="E46" s="65"/>
      <c r="F46" s="3" t="s">
        <v>390</v>
      </c>
      <c r="G46" s="18"/>
      <c r="H46" s="18"/>
      <c r="I46" s="18"/>
      <c r="J46" s="3"/>
      <c r="K46" s="3">
        <v>0</v>
      </c>
      <c r="L46" s="3" t="s">
        <v>391</v>
      </c>
      <c r="M46" s="18">
        <v>255</v>
      </c>
      <c r="N46" s="18">
        <v>201</v>
      </c>
      <c r="O46" s="18">
        <v>65</v>
      </c>
      <c r="P46" s="3" t="str">
        <f t="shared" si="3"/>
        <v>FFC941</v>
      </c>
      <c r="Q46" s="1"/>
      <c r="R46" s="1"/>
      <c r="S46" s="1"/>
      <c r="T46" s="1"/>
      <c r="U46" s="1"/>
      <c r="V46" s="3" t="str">
        <f t="shared" si="4"/>
        <v>000000</v>
      </c>
      <c r="W46" s="1"/>
      <c r="X46" s="1"/>
      <c r="Y46" s="1"/>
      <c r="Z46" s="3" t="str">
        <f t="shared" si="5"/>
        <v>000000</v>
      </c>
    </row>
    <row r="47" spans="2:26" x14ac:dyDescent="0.35">
      <c r="B47" s="84"/>
      <c r="C47" s="3" t="s">
        <v>73</v>
      </c>
      <c r="D47" s="1">
        <v>244</v>
      </c>
      <c r="E47" s="66"/>
      <c r="F47" s="3" t="s">
        <v>390</v>
      </c>
      <c r="G47" s="18"/>
      <c r="H47" s="18"/>
      <c r="I47" s="18"/>
      <c r="J47" s="3"/>
      <c r="K47" s="3">
        <v>0</v>
      </c>
      <c r="L47" s="3" t="s">
        <v>391</v>
      </c>
      <c r="M47" s="18">
        <v>254</v>
      </c>
      <c r="N47" s="18">
        <v>181</v>
      </c>
      <c r="O47" s="18">
        <v>0</v>
      </c>
      <c r="P47" s="3" t="str">
        <f t="shared" si="3"/>
        <v>FEB500</v>
      </c>
      <c r="Q47" s="1"/>
      <c r="R47" s="1"/>
      <c r="S47" s="1"/>
      <c r="T47" s="1"/>
      <c r="U47" s="1"/>
      <c r="V47" s="3" t="str">
        <f t="shared" si="4"/>
        <v>000000</v>
      </c>
      <c r="W47" s="1"/>
      <c r="X47" s="1"/>
      <c r="Y47" s="1"/>
      <c r="Z47" s="3" t="str">
        <f t="shared" si="5"/>
        <v>000000</v>
      </c>
    </row>
    <row r="48" spans="2:26" x14ac:dyDescent="0.35">
      <c r="B48" s="84"/>
      <c r="C48" s="3" t="s">
        <v>74</v>
      </c>
      <c r="D48" s="1">
        <v>245</v>
      </c>
      <c r="E48" s="54"/>
      <c r="F48" s="3" t="s">
        <v>390</v>
      </c>
      <c r="G48" s="18"/>
      <c r="H48" s="18"/>
      <c r="I48" s="18"/>
      <c r="J48" s="3"/>
      <c r="K48" s="3">
        <v>0</v>
      </c>
      <c r="L48" s="3" t="s">
        <v>391</v>
      </c>
      <c r="M48" s="18">
        <v>255</v>
      </c>
      <c r="N48" s="18">
        <v>176</v>
      </c>
      <c r="O48" s="18">
        <v>60</v>
      </c>
      <c r="P48" s="3" t="s">
        <v>392</v>
      </c>
      <c r="Q48" s="1"/>
      <c r="R48" s="1"/>
      <c r="S48" s="1"/>
      <c r="T48" s="1"/>
      <c r="U48" s="1"/>
      <c r="V48" s="3" t="str">
        <f t="shared" si="4"/>
        <v>000000</v>
      </c>
      <c r="W48" s="1"/>
      <c r="X48" s="1"/>
      <c r="Y48" s="1"/>
      <c r="Z48" s="3" t="str">
        <f t="shared" si="5"/>
        <v>000000</v>
      </c>
    </row>
    <row r="49" spans="2:26" x14ac:dyDescent="0.35">
      <c r="B49" s="84"/>
      <c r="C49" s="3" t="s">
        <v>75</v>
      </c>
      <c r="D49" s="1">
        <v>311</v>
      </c>
      <c r="E49" s="49"/>
      <c r="F49" s="3" t="s">
        <v>390</v>
      </c>
      <c r="G49" s="18"/>
      <c r="H49" s="18"/>
      <c r="I49" s="18"/>
      <c r="J49" s="3"/>
      <c r="K49" s="3">
        <v>0</v>
      </c>
      <c r="L49" s="3" t="s">
        <v>391</v>
      </c>
      <c r="M49" s="48">
        <v>71</v>
      </c>
      <c r="N49" s="48">
        <v>143</v>
      </c>
      <c r="O49" s="48">
        <v>0</v>
      </c>
      <c r="P49" s="3" t="str">
        <f t="shared" si="3"/>
        <v>478F00</v>
      </c>
      <c r="Q49" s="1"/>
      <c r="R49" s="1"/>
      <c r="S49" s="1"/>
      <c r="T49" s="1"/>
      <c r="U49" s="1"/>
      <c r="V49" s="3" t="str">
        <f t="shared" si="4"/>
        <v>000000</v>
      </c>
      <c r="W49" s="1"/>
      <c r="X49" s="1"/>
      <c r="Y49" s="1"/>
      <c r="Z49" s="3" t="str">
        <f t="shared" si="5"/>
        <v>000000</v>
      </c>
    </row>
    <row r="50" spans="2:26" x14ac:dyDescent="0.35">
      <c r="B50" s="84"/>
      <c r="C50" s="3" t="s">
        <v>76</v>
      </c>
      <c r="D50" s="1">
        <v>312</v>
      </c>
      <c r="E50" s="50"/>
      <c r="F50" s="3" t="s">
        <v>390</v>
      </c>
      <c r="G50" s="18"/>
      <c r="H50" s="18"/>
      <c r="I50" s="18"/>
      <c r="J50" s="3"/>
      <c r="K50" s="3">
        <v>0</v>
      </c>
      <c r="L50" s="3" t="s">
        <v>391</v>
      </c>
      <c r="M50" s="48">
        <v>85</v>
      </c>
      <c r="N50" s="48">
        <v>171</v>
      </c>
      <c r="O50" s="48">
        <v>0</v>
      </c>
      <c r="P50" s="3" t="str">
        <f t="shared" si="3"/>
        <v>55AB00</v>
      </c>
      <c r="Q50" s="1"/>
      <c r="R50" s="1"/>
      <c r="S50" s="1"/>
      <c r="T50" s="1"/>
      <c r="U50" s="1"/>
      <c r="V50" s="3" t="str">
        <f t="shared" si="4"/>
        <v>000000</v>
      </c>
      <c r="W50" s="1"/>
      <c r="X50" s="1"/>
      <c r="Y50" s="1"/>
      <c r="Z50" s="3" t="str">
        <f t="shared" si="5"/>
        <v>000000</v>
      </c>
    </row>
    <row r="51" spans="2:26" x14ac:dyDescent="0.35">
      <c r="B51" s="84"/>
      <c r="C51" s="3" t="s">
        <v>77</v>
      </c>
      <c r="D51" s="1">
        <v>313</v>
      </c>
      <c r="E51" s="51"/>
      <c r="F51" s="3" t="s">
        <v>390</v>
      </c>
      <c r="G51" s="18"/>
      <c r="H51" s="18"/>
      <c r="I51" s="18"/>
      <c r="J51" s="3"/>
      <c r="K51" s="3">
        <v>0</v>
      </c>
      <c r="L51" s="3" t="s">
        <v>391</v>
      </c>
      <c r="M51" s="48">
        <v>97</v>
      </c>
      <c r="N51" s="48">
        <v>194</v>
      </c>
      <c r="O51" s="48">
        <v>0</v>
      </c>
      <c r="P51" s="3" t="str">
        <f t="shared" si="3"/>
        <v>61C200</v>
      </c>
      <c r="Q51" s="1"/>
      <c r="R51" s="1"/>
      <c r="S51" s="1"/>
      <c r="T51" s="1"/>
      <c r="U51" s="1"/>
      <c r="V51" s="3" t="str">
        <f t="shared" si="4"/>
        <v>000000</v>
      </c>
      <c r="W51" s="1"/>
      <c r="X51" s="1"/>
      <c r="Y51" s="1"/>
      <c r="Z51" s="3" t="str">
        <f t="shared" si="5"/>
        <v>000000</v>
      </c>
    </row>
    <row r="52" spans="2:26" x14ac:dyDescent="0.35">
      <c r="B52" s="84"/>
      <c r="C52" s="3" t="s">
        <v>78</v>
      </c>
      <c r="D52" s="1">
        <v>314</v>
      </c>
      <c r="E52" s="52"/>
      <c r="F52" s="3" t="s">
        <v>390</v>
      </c>
      <c r="G52" s="18"/>
      <c r="H52" s="18"/>
      <c r="I52" s="18"/>
      <c r="J52" s="3"/>
      <c r="K52" s="3">
        <v>0</v>
      </c>
      <c r="L52" s="3" t="s">
        <v>391</v>
      </c>
      <c r="M52" s="48">
        <v>112</v>
      </c>
      <c r="N52" s="48">
        <v>224</v>
      </c>
      <c r="O52" s="48">
        <v>0</v>
      </c>
      <c r="P52" s="3" t="str">
        <f t="shared" si="3"/>
        <v>70E000</v>
      </c>
      <c r="Q52" s="1"/>
      <c r="R52" s="1"/>
      <c r="S52" s="1"/>
      <c r="T52" s="1"/>
      <c r="U52" s="1"/>
      <c r="V52" s="3" t="str">
        <f t="shared" si="4"/>
        <v>000000</v>
      </c>
      <c r="W52" s="1"/>
      <c r="X52" s="1"/>
      <c r="Y52" s="1"/>
      <c r="Z52" s="3" t="str">
        <f t="shared" si="5"/>
        <v>000000</v>
      </c>
    </row>
    <row r="53" spans="2:26" x14ac:dyDescent="0.35">
      <c r="B53" s="84"/>
      <c r="C53" s="3" t="s">
        <v>79</v>
      </c>
      <c r="D53" s="1">
        <v>315</v>
      </c>
      <c r="E53" s="53"/>
      <c r="F53" s="3" t="s">
        <v>390</v>
      </c>
      <c r="G53" s="18"/>
      <c r="H53" s="18"/>
      <c r="I53" s="18"/>
      <c r="J53" s="3"/>
      <c r="K53" s="3">
        <v>0</v>
      </c>
      <c r="L53" s="3" t="s">
        <v>391</v>
      </c>
      <c r="M53" s="48">
        <v>128</v>
      </c>
      <c r="N53" s="48">
        <v>255</v>
      </c>
      <c r="O53" s="48">
        <v>0</v>
      </c>
      <c r="P53" s="3" t="str">
        <f t="shared" si="3"/>
        <v>80FF00</v>
      </c>
      <c r="Q53" s="1"/>
      <c r="R53" s="1"/>
      <c r="S53" s="1"/>
      <c r="T53" s="1"/>
      <c r="U53" s="1"/>
      <c r="V53" s="3" t="str">
        <f t="shared" si="4"/>
        <v>000000</v>
      </c>
      <c r="W53" s="1"/>
      <c r="X53" s="1"/>
      <c r="Y53" s="1"/>
      <c r="Z53" s="3" t="str">
        <f t="shared" si="5"/>
        <v>000000</v>
      </c>
    </row>
    <row r="54" spans="2:26" x14ac:dyDescent="0.35">
      <c r="B54" s="84"/>
      <c r="C54" s="3" t="s">
        <v>80</v>
      </c>
      <c r="D54" s="1">
        <v>321</v>
      </c>
      <c r="E54" s="35"/>
      <c r="F54" s="3" t="s">
        <v>390</v>
      </c>
      <c r="G54" s="18"/>
      <c r="H54" s="18"/>
      <c r="I54" s="18"/>
      <c r="J54" s="3"/>
      <c r="K54" s="3">
        <v>0</v>
      </c>
      <c r="L54" s="3" t="s">
        <v>391</v>
      </c>
      <c r="M54" s="18">
        <v>204</v>
      </c>
      <c r="N54" s="18">
        <v>242</v>
      </c>
      <c r="O54" s="18">
        <v>78</v>
      </c>
      <c r="P54" s="3" t="str">
        <f t="shared" si="3"/>
        <v>CCF24E</v>
      </c>
      <c r="Q54" s="1"/>
      <c r="R54" s="1"/>
      <c r="S54" s="1"/>
      <c r="T54" s="1"/>
      <c r="U54" s="1"/>
      <c r="V54" s="3" t="str">
        <f t="shared" si="4"/>
        <v>000000</v>
      </c>
      <c r="W54" s="1"/>
      <c r="X54" s="1"/>
      <c r="Y54" s="1"/>
      <c r="Z54" s="3" t="str">
        <f t="shared" si="5"/>
        <v>000000</v>
      </c>
    </row>
    <row r="55" spans="2:26" x14ac:dyDescent="0.35">
      <c r="B55" s="84"/>
      <c r="C55" s="3" t="s">
        <v>81</v>
      </c>
      <c r="D55" s="1">
        <v>322</v>
      </c>
      <c r="E55" s="36"/>
      <c r="F55" s="3" t="s">
        <v>390</v>
      </c>
      <c r="G55" s="18"/>
      <c r="H55" s="18"/>
      <c r="I55" s="18"/>
      <c r="J55" s="3"/>
      <c r="K55" s="3">
        <v>0</v>
      </c>
      <c r="L55" s="3" t="s">
        <v>391</v>
      </c>
      <c r="M55" s="18">
        <v>172</v>
      </c>
      <c r="N55" s="18">
        <v>219</v>
      </c>
      <c r="O55" s="18">
        <v>15</v>
      </c>
      <c r="P55" s="3" t="str">
        <f t="shared" si="3"/>
        <v>ACDB0F</v>
      </c>
      <c r="Q55" s="1"/>
      <c r="R55" s="1"/>
      <c r="S55" s="1"/>
      <c r="T55" s="1"/>
      <c r="U55" s="1"/>
      <c r="V55" s="3" t="str">
        <f t="shared" si="4"/>
        <v>000000</v>
      </c>
      <c r="W55" s="1"/>
      <c r="X55" s="1"/>
      <c r="Y55" s="1"/>
      <c r="Z55" s="3" t="str">
        <f t="shared" si="5"/>
        <v>000000</v>
      </c>
    </row>
    <row r="56" spans="2:26" x14ac:dyDescent="0.35">
      <c r="B56" s="84"/>
      <c r="C56" s="3" t="s">
        <v>82</v>
      </c>
      <c r="D56" s="1">
        <v>323</v>
      </c>
      <c r="E56" s="37"/>
      <c r="F56" s="3" t="s">
        <v>390</v>
      </c>
      <c r="G56" s="18"/>
      <c r="H56" s="18"/>
      <c r="I56" s="18"/>
      <c r="J56" s="3"/>
      <c r="K56" s="3">
        <v>0</v>
      </c>
      <c r="L56" s="3" t="s">
        <v>391</v>
      </c>
      <c r="M56" s="18">
        <v>150</v>
      </c>
      <c r="N56" s="18">
        <v>191</v>
      </c>
      <c r="O56" s="18">
        <v>13</v>
      </c>
      <c r="P56" s="3" t="str">
        <f t="shared" si="3"/>
        <v>96BF0D</v>
      </c>
      <c r="Q56" s="1"/>
      <c r="R56" s="1"/>
      <c r="S56" s="1"/>
      <c r="T56" s="1"/>
      <c r="U56" s="1"/>
      <c r="V56" s="3" t="str">
        <f t="shared" si="4"/>
        <v>000000</v>
      </c>
      <c r="W56" s="1"/>
      <c r="X56" s="1"/>
      <c r="Y56" s="1"/>
      <c r="Z56" s="3" t="str">
        <f t="shared" si="5"/>
        <v>000000</v>
      </c>
    </row>
    <row r="57" spans="2:26" x14ac:dyDescent="0.35">
      <c r="B57" s="84"/>
      <c r="C57" s="3" t="s">
        <v>83</v>
      </c>
      <c r="D57" s="1">
        <v>331</v>
      </c>
      <c r="E57" s="38"/>
      <c r="F57" s="3" t="s">
        <v>390</v>
      </c>
      <c r="G57" s="18"/>
      <c r="H57" s="18"/>
      <c r="I57" s="18"/>
      <c r="J57" s="3"/>
      <c r="K57" s="3">
        <v>0</v>
      </c>
      <c r="L57" s="3" t="s">
        <v>391</v>
      </c>
      <c r="M57" s="18">
        <v>194</v>
      </c>
      <c r="N57" s="18">
        <v>194</v>
      </c>
      <c r="O57" s="18">
        <v>194</v>
      </c>
      <c r="P57" s="3" t="str">
        <f t="shared" si="3"/>
        <v>C2C2C2</v>
      </c>
      <c r="Q57" s="1"/>
      <c r="R57" s="1"/>
      <c r="S57" s="1"/>
      <c r="T57" s="1"/>
      <c r="U57" s="1"/>
      <c r="V57" s="3" t="str">
        <f t="shared" si="4"/>
        <v>000000</v>
      </c>
      <c r="W57" s="1"/>
      <c r="X57" s="1"/>
      <c r="Y57" s="1"/>
      <c r="Z57" s="3" t="str">
        <f t="shared" si="5"/>
        <v>000000</v>
      </c>
    </row>
    <row r="58" spans="2:26" x14ac:dyDescent="0.35">
      <c r="B58" s="84"/>
      <c r="C58" s="3" t="s">
        <v>84</v>
      </c>
      <c r="D58" s="1">
        <v>332</v>
      </c>
      <c r="E58" s="39"/>
      <c r="F58" s="3" t="s">
        <v>390</v>
      </c>
      <c r="G58" s="18"/>
      <c r="H58" s="18"/>
      <c r="I58" s="18"/>
      <c r="J58" s="3"/>
      <c r="K58" s="3">
        <v>0</v>
      </c>
      <c r="L58" s="3" t="s">
        <v>391</v>
      </c>
      <c r="M58" s="18">
        <v>179</v>
      </c>
      <c r="N58" s="18">
        <v>179</v>
      </c>
      <c r="O58" s="18">
        <v>179</v>
      </c>
      <c r="P58" s="3" t="str">
        <f t="shared" si="3"/>
        <v>B3B3B3</v>
      </c>
      <c r="Q58" s="1"/>
      <c r="R58" s="1"/>
      <c r="S58" s="1"/>
      <c r="T58" s="1"/>
      <c r="U58" s="1"/>
      <c r="V58" s="3" t="str">
        <f t="shared" si="4"/>
        <v>000000</v>
      </c>
      <c r="W58" s="1"/>
      <c r="X58" s="1"/>
      <c r="Y58" s="1"/>
      <c r="Z58" s="3" t="str">
        <f t="shared" si="5"/>
        <v>000000</v>
      </c>
    </row>
    <row r="59" spans="2:26" x14ac:dyDescent="0.35">
      <c r="B59" s="84"/>
      <c r="C59" s="3" t="s">
        <v>85</v>
      </c>
      <c r="D59" s="1">
        <v>333</v>
      </c>
      <c r="E59" s="40"/>
      <c r="F59" s="3" t="s">
        <v>390</v>
      </c>
      <c r="G59" s="18"/>
      <c r="H59" s="18"/>
      <c r="I59" s="18"/>
      <c r="J59" s="3"/>
      <c r="K59" s="3">
        <v>0</v>
      </c>
      <c r="L59" s="3" t="s">
        <v>391</v>
      </c>
      <c r="M59" s="18">
        <v>158</v>
      </c>
      <c r="N59" s="18">
        <v>158</v>
      </c>
      <c r="O59" s="18">
        <v>158</v>
      </c>
      <c r="P59" s="3" t="str">
        <f t="shared" si="3"/>
        <v>9E9E9E</v>
      </c>
      <c r="Q59" s="1"/>
      <c r="R59" s="1"/>
      <c r="S59" s="1"/>
      <c r="T59" s="1"/>
      <c r="U59" s="1"/>
      <c r="V59" s="3" t="str">
        <f t="shared" si="4"/>
        <v>000000</v>
      </c>
      <c r="W59" s="1"/>
      <c r="X59" s="1"/>
      <c r="Y59" s="1"/>
      <c r="Z59" s="3" t="str">
        <f t="shared" si="5"/>
        <v>000000</v>
      </c>
    </row>
    <row r="60" spans="2:26" x14ac:dyDescent="0.35">
      <c r="B60" s="84"/>
      <c r="C60" s="3" t="s">
        <v>86</v>
      </c>
      <c r="D60" s="1">
        <v>334</v>
      </c>
      <c r="E60" s="67"/>
      <c r="F60" s="3" t="s">
        <v>390</v>
      </c>
      <c r="G60" s="18"/>
      <c r="H60" s="18"/>
      <c r="I60" s="18"/>
      <c r="J60" s="3"/>
      <c r="K60" s="3">
        <v>0</v>
      </c>
      <c r="L60" s="3" t="s">
        <v>391</v>
      </c>
      <c r="M60" s="18">
        <v>137</v>
      </c>
      <c r="N60" s="18">
        <v>137</v>
      </c>
      <c r="O60" s="18">
        <v>137</v>
      </c>
      <c r="P60" s="3" t="str">
        <f t="shared" si="3"/>
        <v>898989</v>
      </c>
      <c r="Q60" s="1"/>
      <c r="R60" s="1"/>
      <c r="S60" s="1"/>
      <c r="T60" s="1"/>
      <c r="U60" s="1"/>
      <c r="V60" s="3" t="str">
        <f t="shared" si="4"/>
        <v>000000</v>
      </c>
      <c r="W60" s="1"/>
      <c r="X60" s="1"/>
      <c r="Y60" s="1"/>
      <c r="Z60" s="3" t="str">
        <f t="shared" si="5"/>
        <v>000000</v>
      </c>
    </row>
    <row r="61" spans="2:26" x14ac:dyDescent="0.35">
      <c r="B61" s="84"/>
      <c r="C61" s="3" t="s">
        <v>87</v>
      </c>
      <c r="D61" s="1">
        <v>335</v>
      </c>
      <c r="E61" s="68"/>
      <c r="F61" s="3" t="s">
        <v>390</v>
      </c>
      <c r="G61" s="18"/>
      <c r="H61" s="18"/>
      <c r="I61" s="18"/>
      <c r="J61" s="3"/>
      <c r="K61" s="3">
        <v>0</v>
      </c>
      <c r="L61" s="3" t="s">
        <v>391</v>
      </c>
      <c r="M61" s="18">
        <v>101</v>
      </c>
      <c r="N61" s="18">
        <v>101</v>
      </c>
      <c r="O61" s="18">
        <v>180</v>
      </c>
      <c r="P61" s="3" t="str">
        <f t="shared" si="3"/>
        <v>6565B4</v>
      </c>
      <c r="Q61" s="1"/>
      <c r="R61" s="1"/>
      <c r="S61" s="1"/>
      <c r="T61" s="1"/>
      <c r="U61" s="1"/>
      <c r="V61" s="3" t="str">
        <f t="shared" si="4"/>
        <v>000000</v>
      </c>
      <c r="W61" s="1"/>
      <c r="X61" s="1"/>
      <c r="Y61" s="1"/>
      <c r="Z61" s="3" t="str">
        <f t="shared" si="5"/>
        <v>000000</v>
      </c>
    </row>
    <row r="62" spans="2:26" x14ac:dyDescent="0.35">
      <c r="B62" s="84"/>
      <c r="C62" s="3" t="s">
        <v>88</v>
      </c>
      <c r="D62" s="1">
        <v>411</v>
      </c>
      <c r="E62" s="41"/>
      <c r="F62" s="3" t="s">
        <v>390</v>
      </c>
      <c r="G62" s="18"/>
      <c r="H62" s="18"/>
      <c r="I62" s="18"/>
      <c r="J62" s="3"/>
      <c r="K62" s="3">
        <v>0</v>
      </c>
      <c r="L62" s="3" t="s">
        <v>391</v>
      </c>
      <c r="M62" s="18">
        <v>166</v>
      </c>
      <c r="N62" s="18">
        <v>166</v>
      </c>
      <c r="O62" s="18">
        <v>255</v>
      </c>
      <c r="P62" s="3" t="str">
        <f t="shared" si="3"/>
        <v>A6A6FF</v>
      </c>
      <c r="Q62" s="1"/>
      <c r="R62" s="1"/>
      <c r="S62" s="1"/>
      <c r="T62" s="1"/>
      <c r="U62" s="1"/>
      <c r="V62" s="3" t="str">
        <f t="shared" si="4"/>
        <v>000000</v>
      </c>
      <c r="W62" s="1"/>
      <c r="X62" s="1"/>
      <c r="Y62" s="1"/>
      <c r="Z62" s="3" t="str">
        <f t="shared" si="5"/>
        <v>000000</v>
      </c>
    </row>
    <row r="63" spans="2:26" x14ac:dyDescent="0.35">
      <c r="B63" s="84"/>
      <c r="C63" s="3" t="s">
        <v>89</v>
      </c>
      <c r="D63" s="1">
        <v>412</v>
      </c>
      <c r="E63" s="69"/>
      <c r="F63" s="3" t="s">
        <v>390</v>
      </c>
      <c r="G63" s="18"/>
      <c r="H63" s="18"/>
      <c r="I63" s="18"/>
      <c r="J63" s="3"/>
      <c r="K63" s="3">
        <v>0</v>
      </c>
      <c r="L63" s="3" t="s">
        <v>391</v>
      </c>
      <c r="M63" s="18">
        <v>77</v>
      </c>
      <c r="N63" s="18">
        <v>145</v>
      </c>
      <c r="O63" s="18">
        <v>255</v>
      </c>
      <c r="P63" s="3" t="str">
        <f t="shared" si="3"/>
        <v>4D91FF</v>
      </c>
      <c r="Q63" s="1"/>
      <c r="R63" s="1"/>
      <c r="S63" s="1"/>
      <c r="T63" s="1"/>
      <c r="U63" s="1"/>
      <c r="V63" s="3" t="str">
        <f t="shared" si="4"/>
        <v>000000</v>
      </c>
      <c r="W63" s="1"/>
      <c r="X63" s="1"/>
      <c r="Y63" s="1"/>
      <c r="Z63" s="3" t="str">
        <f t="shared" si="5"/>
        <v>000000</v>
      </c>
    </row>
    <row r="64" spans="2:26" x14ac:dyDescent="0.35">
      <c r="B64" s="84"/>
      <c r="C64" s="3" t="s">
        <v>90</v>
      </c>
      <c r="D64" s="1">
        <v>413</v>
      </c>
      <c r="E64" s="70"/>
      <c r="F64" s="3" t="s">
        <v>390</v>
      </c>
      <c r="G64" s="18"/>
      <c r="H64" s="18"/>
      <c r="I64" s="18"/>
      <c r="J64" s="3"/>
      <c r="K64" s="3">
        <v>0</v>
      </c>
      <c r="L64" s="3" t="s">
        <v>391</v>
      </c>
      <c r="M64" s="18">
        <v>80</v>
      </c>
      <c r="N64" s="18">
        <v>80</v>
      </c>
      <c r="O64" s="18">
        <v>255</v>
      </c>
      <c r="P64" s="3" t="str">
        <f t="shared" si="3"/>
        <v>5050FF</v>
      </c>
      <c r="Q64" s="1"/>
      <c r="R64" s="1"/>
      <c r="S64" s="1"/>
      <c r="T64" s="1"/>
      <c r="U64" s="1"/>
      <c r="V64" s="3" t="str">
        <f t="shared" si="4"/>
        <v>000000</v>
      </c>
      <c r="W64" s="1"/>
      <c r="X64" s="1"/>
      <c r="Y64" s="1"/>
      <c r="Z64" s="3" t="str">
        <f t="shared" si="5"/>
        <v>000000</v>
      </c>
    </row>
    <row r="65" spans="2:26" x14ac:dyDescent="0.35">
      <c r="B65" s="84"/>
      <c r="C65" s="3" t="s">
        <v>91</v>
      </c>
      <c r="D65" s="1">
        <v>421</v>
      </c>
      <c r="E65" s="42"/>
      <c r="F65" s="3" t="s">
        <v>390</v>
      </c>
      <c r="G65" s="18"/>
      <c r="H65" s="18"/>
      <c r="I65" s="18"/>
      <c r="J65" s="3"/>
      <c r="K65" s="3">
        <v>0</v>
      </c>
      <c r="L65" s="3" t="s">
        <v>391</v>
      </c>
      <c r="M65" s="18">
        <v>204</v>
      </c>
      <c r="N65" s="18">
        <v>204</v>
      </c>
      <c r="O65" s="18">
        <v>255</v>
      </c>
      <c r="P65" s="3" t="str">
        <f t="shared" si="3"/>
        <v>CCCCFF</v>
      </c>
      <c r="Q65" s="1"/>
      <c r="R65" s="1"/>
      <c r="S65" s="1"/>
      <c r="T65" s="1"/>
      <c r="U65" s="1"/>
      <c r="V65" s="3" t="str">
        <f t="shared" si="4"/>
        <v>000000</v>
      </c>
      <c r="W65" s="1"/>
      <c r="X65" s="1"/>
      <c r="Y65" s="1"/>
      <c r="Z65" s="3" t="str">
        <f t="shared" si="5"/>
        <v>000000</v>
      </c>
    </row>
    <row r="66" spans="2:26" x14ac:dyDescent="0.35">
      <c r="B66" s="84"/>
      <c r="C66" s="3" t="s">
        <v>92</v>
      </c>
      <c r="D66" s="1">
        <v>422</v>
      </c>
      <c r="E66" s="71"/>
      <c r="F66" s="3" t="s">
        <v>390</v>
      </c>
      <c r="G66" s="18"/>
      <c r="H66" s="18"/>
      <c r="I66" s="18"/>
      <c r="J66" s="3"/>
      <c r="K66" s="3">
        <v>0</v>
      </c>
      <c r="L66" s="3" t="s">
        <v>391</v>
      </c>
      <c r="M66" s="18">
        <v>183</v>
      </c>
      <c r="N66" s="18">
        <v>183</v>
      </c>
      <c r="O66" s="18">
        <v>255</v>
      </c>
      <c r="P66" s="3" t="str">
        <f t="shared" si="3"/>
        <v>B7B7FF</v>
      </c>
      <c r="Q66" s="1"/>
      <c r="R66" s="1"/>
      <c r="S66" s="1"/>
      <c r="T66" s="1"/>
      <c r="U66" s="1"/>
      <c r="V66" s="3" t="str">
        <f t="shared" si="4"/>
        <v>000000</v>
      </c>
      <c r="W66" s="1"/>
      <c r="X66" s="1"/>
      <c r="Y66" s="1"/>
      <c r="Z66" s="3" t="str">
        <f t="shared" si="5"/>
        <v>000000</v>
      </c>
    </row>
    <row r="67" spans="2:26" x14ac:dyDescent="0.35">
      <c r="B67" s="84"/>
      <c r="C67" s="3" t="s">
        <v>93</v>
      </c>
      <c r="D67" s="1">
        <v>423</v>
      </c>
      <c r="E67" s="72"/>
      <c r="F67" s="3" t="s">
        <v>390</v>
      </c>
      <c r="G67" s="18"/>
      <c r="H67" s="18"/>
      <c r="I67" s="18"/>
      <c r="J67" s="3"/>
      <c r="K67" s="3">
        <v>0</v>
      </c>
      <c r="L67" s="3" t="s">
        <v>391</v>
      </c>
      <c r="M67" s="18">
        <v>166</v>
      </c>
      <c r="N67" s="18">
        <v>166</v>
      </c>
      <c r="O67" s="18">
        <v>230</v>
      </c>
      <c r="P67" s="3" t="str">
        <f t="shared" si="3"/>
        <v>A6A6E6</v>
      </c>
      <c r="Q67" s="1"/>
      <c r="R67" s="1"/>
      <c r="S67" s="1"/>
      <c r="T67" s="1"/>
      <c r="U67" s="1"/>
      <c r="V67" s="3" t="str">
        <f t="shared" si="4"/>
        <v>000000</v>
      </c>
      <c r="W67" s="1"/>
      <c r="X67" s="1"/>
      <c r="Y67" s="1"/>
      <c r="Z67" s="3" t="str">
        <f t="shared" si="5"/>
        <v>000000</v>
      </c>
    </row>
    <row r="68" spans="2:26" x14ac:dyDescent="0.35">
      <c r="B68" s="84"/>
      <c r="C68" s="3" t="s">
        <v>94</v>
      </c>
      <c r="D68" s="1">
        <v>511</v>
      </c>
      <c r="E68" s="43"/>
      <c r="F68" s="3" t="s">
        <v>390</v>
      </c>
      <c r="G68" s="18"/>
      <c r="H68" s="18"/>
      <c r="I68" s="18"/>
      <c r="J68" s="3"/>
      <c r="K68" s="3">
        <v>0</v>
      </c>
      <c r="L68" s="3" t="s">
        <v>391</v>
      </c>
      <c r="M68" s="48">
        <v>0</v>
      </c>
      <c r="N68" s="48">
        <v>0</v>
      </c>
      <c r="O68" s="48">
        <v>248</v>
      </c>
      <c r="P68" s="3" t="str">
        <f t="shared" si="3"/>
        <v>0000F8</v>
      </c>
      <c r="Q68" s="1"/>
      <c r="R68" s="1"/>
      <c r="S68" s="1"/>
      <c r="T68" s="1"/>
      <c r="U68" s="1"/>
      <c r="V68" s="3" t="str">
        <f t="shared" si="4"/>
        <v>000000</v>
      </c>
      <c r="W68" s="1"/>
      <c r="X68" s="1"/>
      <c r="Y68" s="1"/>
      <c r="Z68" s="3" t="str">
        <f t="shared" si="5"/>
        <v>000000</v>
      </c>
    </row>
    <row r="69" spans="2:26" x14ac:dyDescent="0.35">
      <c r="B69" s="84"/>
      <c r="C69" s="3" t="s">
        <v>95</v>
      </c>
      <c r="D69" s="1">
        <v>512</v>
      </c>
      <c r="E69" s="73"/>
      <c r="F69" s="3" t="s">
        <v>390</v>
      </c>
      <c r="G69" s="18"/>
      <c r="H69" s="18"/>
      <c r="I69" s="18"/>
      <c r="J69" s="3"/>
      <c r="K69" s="3">
        <v>0</v>
      </c>
      <c r="L69" s="3" t="s">
        <v>391</v>
      </c>
      <c r="M69" s="48">
        <v>0</v>
      </c>
      <c r="N69" s="48">
        <v>128</v>
      </c>
      <c r="O69" s="48">
        <v>255</v>
      </c>
      <c r="P69" s="3" t="str">
        <f t="shared" si="3"/>
        <v>0080FF</v>
      </c>
      <c r="Q69" s="1"/>
      <c r="R69" s="1"/>
      <c r="S69" s="1"/>
      <c r="T69" s="1"/>
      <c r="U69" s="1"/>
      <c r="V69" s="3" t="str">
        <f t="shared" si="4"/>
        <v>000000</v>
      </c>
      <c r="W69" s="1"/>
      <c r="X69" s="1"/>
      <c r="Y69" s="1"/>
      <c r="Z69" s="3" t="str">
        <f t="shared" si="5"/>
        <v>000000</v>
      </c>
    </row>
    <row r="70" spans="2:26" x14ac:dyDescent="0.35">
      <c r="B70" s="84"/>
      <c r="C70" s="3" t="s">
        <v>96</v>
      </c>
      <c r="D70" s="1">
        <v>513</v>
      </c>
      <c r="E70" s="44"/>
      <c r="F70" s="3" t="s">
        <v>390</v>
      </c>
      <c r="G70" s="18"/>
      <c r="H70" s="18"/>
      <c r="I70" s="18"/>
      <c r="J70" s="3"/>
      <c r="K70" s="3">
        <v>0</v>
      </c>
      <c r="L70" s="3" t="s">
        <v>391</v>
      </c>
      <c r="M70" s="48">
        <v>0</v>
      </c>
      <c r="N70" s="48">
        <v>178</v>
      </c>
      <c r="O70" s="48">
        <v>255</v>
      </c>
      <c r="P70" s="3" t="str">
        <f t="shared" si="3"/>
        <v>00B2FF</v>
      </c>
      <c r="Q70" s="1"/>
      <c r="R70" s="1"/>
      <c r="S70" s="1"/>
      <c r="T70" s="1"/>
      <c r="U70" s="1"/>
      <c r="V70" s="3" t="str">
        <f t="shared" si="4"/>
        <v>000000</v>
      </c>
      <c r="W70" s="1"/>
      <c r="X70" s="1"/>
      <c r="Y70" s="1"/>
      <c r="Z70" s="3" t="str">
        <f t="shared" si="5"/>
        <v>000000</v>
      </c>
    </row>
    <row r="71" spans="2:26" x14ac:dyDescent="0.35">
      <c r="B71" s="84"/>
      <c r="C71" s="3" t="s">
        <v>97</v>
      </c>
      <c r="D71" s="1">
        <v>514</v>
      </c>
      <c r="E71" s="45"/>
      <c r="F71" s="3" t="s">
        <v>390</v>
      </c>
      <c r="G71" s="18"/>
      <c r="H71" s="18"/>
      <c r="I71" s="18"/>
      <c r="J71" s="3"/>
      <c r="K71" s="3">
        <v>0</v>
      </c>
      <c r="L71" s="3" t="s">
        <v>391</v>
      </c>
      <c r="M71" s="48">
        <v>0</v>
      </c>
      <c r="N71" s="48">
        <v>206</v>
      </c>
      <c r="O71" s="48">
        <v>242</v>
      </c>
      <c r="P71" s="3" t="str">
        <f t="shared" si="3"/>
        <v>00CEF2</v>
      </c>
      <c r="Q71" s="1"/>
      <c r="R71" s="1"/>
      <c r="S71" s="1"/>
      <c r="T71" s="1"/>
      <c r="U71" s="1"/>
      <c r="V71" s="3" t="str">
        <f t="shared" si="4"/>
        <v>000000</v>
      </c>
      <c r="W71" s="1"/>
      <c r="X71" s="1"/>
      <c r="Y71" s="1"/>
      <c r="Z71" s="3" t="str">
        <f t="shared" si="5"/>
        <v>000000</v>
      </c>
    </row>
    <row r="72" spans="2:26" x14ac:dyDescent="0.35">
      <c r="B72" s="84"/>
      <c r="C72" s="3" t="s">
        <v>98</v>
      </c>
      <c r="D72" s="1">
        <v>521</v>
      </c>
      <c r="E72" s="46"/>
      <c r="F72" s="3" t="s">
        <v>390</v>
      </c>
      <c r="G72" s="76"/>
      <c r="H72" s="76"/>
      <c r="I72" s="76"/>
      <c r="J72" s="77"/>
      <c r="K72" s="77">
        <v>0</v>
      </c>
      <c r="L72" s="77" t="s">
        <v>391</v>
      </c>
      <c r="M72" s="78">
        <v>69</v>
      </c>
      <c r="N72" s="78">
        <v>224</v>
      </c>
      <c r="O72" s="78">
        <v>245</v>
      </c>
      <c r="P72" s="77" t="str">
        <f t="shared" si="3"/>
        <v>45E0F5</v>
      </c>
      <c r="Q72" s="79"/>
      <c r="R72" s="79"/>
      <c r="S72" s="79"/>
      <c r="T72" s="79"/>
      <c r="U72" s="79"/>
      <c r="V72" s="1" t="str">
        <f t="shared" si="4"/>
        <v>000000</v>
      </c>
      <c r="W72" s="79"/>
      <c r="X72" s="79"/>
      <c r="Y72" s="79"/>
      <c r="Z72" s="1" t="str">
        <f t="shared" si="5"/>
        <v>000000</v>
      </c>
    </row>
    <row r="73" spans="2:26" x14ac:dyDescent="0.35">
      <c r="B73" s="84"/>
      <c r="C73" s="83" t="s">
        <v>394</v>
      </c>
      <c r="D73" s="74">
        <v>522</v>
      </c>
      <c r="E73" s="75"/>
      <c r="F73" s="3" t="s">
        <v>390</v>
      </c>
      <c r="G73" s="1"/>
      <c r="H73" s="1"/>
      <c r="I73" s="1"/>
      <c r="J73" s="1"/>
      <c r="K73" s="1">
        <v>0</v>
      </c>
      <c r="L73" s="1" t="s">
        <v>391</v>
      </c>
      <c r="M73" s="82">
        <v>148</v>
      </c>
      <c r="N73" s="82">
        <v>180</v>
      </c>
      <c r="O73" s="82">
        <v>250</v>
      </c>
      <c r="P73" s="83" t="str">
        <f t="shared" si="3"/>
        <v>94B4FA</v>
      </c>
      <c r="Q73" s="1"/>
      <c r="R73" s="1"/>
      <c r="S73" s="1"/>
      <c r="T73" s="1"/>
      <c r="U73" s="1"/>
      <c r="V73" s="1" t="str">
        <f t="shared" si="4"/>
        <v>000000</v>
      </c>
      <c r="W73" s="1"/>
      <c r="X73" s="1"/>
      <c r="Y73" s="1"/>
      <c r="Z73" s="1" t="str">
        <f t="shared" si="5"/>
        <v>000000</v>
      </c>
    </row>
    <row r="74" spans="2:26" x14ac:dyDescent="0.35">
      <c r="B74" s="84"/>
      <c r="C74" s="1" t="s">
        <v>99</v>
      </c>
      <c r="D74" s="1">
        <v>523</v>
      </c>
      <c r="E74" s="47"/>
      <c r="F74" s="3" t="s">
        <v>390</v>
      </c>
      <c r="G74" s="80"/>
      <c r="H74" s="80"/>
      <c r="I74" s="80"/>
      <c r="J74" s="3"/>
      <c r="K74" s="3">
        <v>0</v>
      </c>
      <c r="L74" s="3" t="s">
        <v>391</v>
      </c>
      <c r="M74" s="81">
        <v>204</v>
      </c>
      <c r="N74" s="81">
        <v>246</v>
      </c>
      <c r="O74" s="81">
        <v>255</v>
      </c>
      <c r="P74" s="3" t="str">
        <f>CONCATENATE(IF(M74&lt;16,CONCATENATE(0,DEC2HEX(M74)),DEC2HEX(M74)),IF(N74&lt;16,CONCATENATE(0,DEC2HEX(N74)),DEC2HEX(N74)),IF(O74&lt;16,CONCATENATE(0,DEC2HEX(O74)),DEC2HEX(O74)))</f>
        <v>CCF6FF</v>
      </c>
      <c r="Q74" s="3"/>
      <c r="R74" s="3"/>
      <c r="S74" s="3"/>
      <c r="T74" s="3"/>
      <c r="U74" s="3"/>
      <c r="V74" s="1" t="str">
        <f>CONCATENATE(IF(S74&lt;16,CONCATENATE(0,DEC2HEX(S74)),DEC2HEX(S74)),IF(T74&lt;16,CONCATENATE(0,DEC2HEX(T74)),DEC2HEX(T74)),IF(U74&lt;16,CONCATENATE(0,DEC2HEX(U74)),DEC2HEX(U74)))</f>
        <v>000000</v>
      </c>
      <c r="W74" s="3"/>
      <c r="X74" s="3"/>
      <c r="Y74" s="3"/>
      <c r="Z74" s="1" t="str">
        <f>CONCATENATE(IF(W74&lt;16,CONCATENATE(0,DEC2HEX(W74)),DEC2HEX(W74)),IF(X74&lt;16,CONCATENATE(0,DEC2HEX(X74)),DEC2HEX(X74)),IF(Y74&lt;16,CONCATENATE(0,DEC2HEX(Y74)),DEC2HEX(Y74)))</f>
        <v>000000</v>
      </c>
    </row>
  </sheetData>
  <mergeCells count="48">
    <mergeCell ref="X9:Z9"/>
    <mergeCell ref="X10:Z10"/>
    <mergeCell ref="X11:Z11"/>
    <mergeCell ref="X12:Z12"/>
    <mergeCell ref="F15:K15"/>
    <mergeCell ref="B14:Z14"/>
    <mergeCell ref="D15:D19"/>
    <mergeCell ref="W15:Z18"/>
    <mergeCell ref="B15:B19"/>
    <mergeCell ref="C15:C19"/>
    <mergeCell ref="E15:E19"/>
    <mergeCell ref="F16:P16"/>
    <mergeCell ref="L15:V15"/>
    <mergeCell ref="F18:K18"/>
    <mergeCell ref="L18:P18"/>
    <mergeCell ref="Q18:V18"/>
    <mergeCell ref="W2:Y2"/>
    <mergeCell ref="W3:Y3"/>
    <mergeCell ref="W4:Y4"/>
    <mergeCell ref="C12:F12"/>
    <mergeCell ref="C13:F13"/>
    <mergeCell ref="G12:K12"/>
    <mergeCell ref="G13:K13"/>
    <mergeCell ref="R9:W9"/>
    <mergeCell ref="M13:Z13"/>
    <mergeCell ref="R12:W12"/>
    <mergeCell ref="R10:W10"/>
    <mergeCell ref="R11:W11"/>
    <mergeCell ref="M9:Q9"/>
    <mergeCell ref="M10:Q10"/>
    <mergeCell ref="M11:Q11"/>
    <mergeCell ref="M12:Q12"/>
    <mergeCell ref="B20:B74"/>
    <mergeCell ref="W5:Y5"/>
    <mergeCell ref="M8:Z8"/>
    <mergeCell ref="Q16:V16"/>
    <mergeCell ref="F17:K17"/>
    <mergeCell ref="B1:V5"/>
    <mergeCell ref="C8:F8"/>
    <mergeCell ref="C9:F9"/>
    <mergeCell ref="C10:F10"/>
    <mergeCell ref="C11:F11"/>
    <mergeCell ref="G8:K8"/>
    <mergeCell ref="G9:K9"/>
    <mergeCell ref="G10:K10"/>
    <mergeCell ref="G11:K11"/>
    <mergeCell ref="B6:Z6"/>
    <mergeCell ref="W1:Y1"/>
  </mergeCells>
  <dataValidations count="24">
    <dataValidation allowBlank="1" showInputMessage="1" showErrorMessage="1" prompt="Nombre del funcionario responsable de quien elabora la ficha" sqref="C9:F9" xr:uid="{00000000-0002-0000-0000-000000000000}"/>
    <dataValidation allowBlank="1" showInputMessage="1" showErrorMessage="1" prompt="Subdirección y grupo del funcionario responsable  que elabora la ficha" sqref="C10:F10" xr:uid="{00000000-0002-0000-0000-000001000000}"/>
    <dataValidation allowBlank="1" showInputMessage="1" showErrorMessage="1" prompt="Telefono y extención del funcionario responsable  que elabora  la ficha" sqref="C11:F11" xr:uid="{00000000-0002-0000-0000-000002000000}"/>
    <dataValidation allowBlank="1" showInputMessage="1" showErrorMessage="1" prompt="Correo electrónico del funcionario responsable que elabora la ficha" sqref="C12:F12" xr:uid="{00000000-0002-0000-0000-000003000000}"/>
    <dataValidation allowBlank="1" showInputMessage="1" showErrorMessage="1" prompt="Fecha de elaboración de la ficha DD/MM/AAAA" sqref="C13:F13" xr:uid="{00000000-0002-0000-0000-000004000000}"/>
    <dataValidation allowBlank="1" showInputMessage="1" showErrorMessage="1" prompt="Nombre del funcionario responsable de quien Valida la ficha" sqref="G9:K9" xr:uid="{00000000-0002-0000-0000-000005000000}"/>
    <dataValidation allowBlank="1" showInputMessage="1" showErrorMessage="1" prompt="Subdirección y grupo del funcionario responsable  que valida la ficha" sqref="G10:K10" xr:uid="{00000000-0002-0000-0000-000006000000}"/>
    <dataValidation allowBlank="1" showInputMessage="1" showErrorMessage="1" prompt="Telefono y extención del funcionario responsable  que valida  la ficha" sqref="G11:K11" xr:uid="{00000000-0002-0000-0000-000007000000}"/>
    <dataValidation allowBlank="1" showInputMessage="1" showErrorMessage="1" prompt="Correo electrónico del funcionario responsable que valida la ficha" sqref="G12:K12" xr:uid="{00000000-0002-0000-0000-000008000000}"/>
    <dataValidation allowBlank="1" showInputMessage="1" showErrorMessage="1" prompt="Fecha de validación de la ficha DD/MM/AAAA" sqref="G13:K13" xr:uid="{00000000-0002-0000-0000-000009000000}"/>
    <dataValidation allowBlank="1" showInputMessage="1" showErrorMessage="1" prompt="Nombre con que se identifica de manera unica el objeto geografico dentro de la base de datos" sqref="M11:Q11" xr:uid="{00000000-0002-0000-0000-00000A000000}"/>
    <dataValidation allowBlank="1" showInputMessage="1" showErrorMessage="1" prompt="Nombre del atributo por el cual se realizara la leyenda del mapa." sqref="B15:B19" xr:uid="{00000000-0002-0000-0000-00000B000000}"/>
    <dataValidation allowBlank="1" showInputMessage="1" showErrorMessage="1" prompt="Valor o valores del atributo definido/s para la leyenda del mapa" sqref="C15:C19" xr:uid="{00000000-0002-0000-0000-00000C000000}"/>
    <dataValidation allowBlank="1" showInputMessage="1" showErrorMessage="1" prompt="Codigo del/los atributos  definido para la leyenda del mapa" sqref="D15:D19" xr:uid="{00000000-0002-0000-0000-00000D000000}"/>
    <dataValidation allowBlank="1" showInputMessage="1" showErrorMessage="1" prompt="Colores y/o achurados de los atributos definidos para la leyenda del mapa " sqref="E15:E19" xr:uid="{00000000-0002-0000-0000-00000E000000}"/>
    <dataValidation allowBlank="1" showInputMessage="1" showErrorMessage="1" prompt="Componentes a diligenciar en caso que la geometria de la capa sea de linea." sqref="F17:K17" xr:uid="{00000000-0002-0000-0000-00000F000000}"/>
    <dataValidation allowBlank="1" showInputMessage="1" showErrorMessage="1" prompt="Componentes a diligenciar en caso que la geometria de la capa sea de poligono." sqref="F16:P16" xr:uid="{00000000-0002-0000-0000-000010000000}"/>
    <dataValidation allowBlank="1" showInputMessage="1" showErrorMessage="1" prompt="Componentes a diligenciar en caso que la geometria de la capa sea de punto." sqref="L15:V15" xr:uid="{00000000-0002-0000-0000-000011000000}"/>
    <dataValidation allowBlank="1" showInputMessage="1" showErrorMessage="1" prompt="Componentes a diligenciar en caso que elformato de la capa sea raster" sqref="W15:Z18" xr:uid="{00000000-0002-0000-0000-000012000000}"/>
    <dataValidation allowBlank="1" showInputMessage="1" showErrorMessage="1" prompt="Seleccione de la lista desplegable el tema al que corresponde el objeto que esta documentando." sqref="M9:Q9" xr:uid="{00000000-0002-0000-0000-000013000000}"/>
    <dataValidation allowBlank="1" showInputMessage="1" showErrorMessage="1" prompt="Seleccione de la lista desplegable el Grupo al que corresponde el objeto que esta documentando." sqref="R9:W9" xr:uid="{00000000-0002-0000-0000-000014000000}"/>
    <dataValidation type="whole" allowBlank="1" showInputMessage="1" showErrorMessage="1" error="El valor a digitar debe estar entre 0 y 255." sqref="N23:N26" xr:uid="{00000000-0002-0000-0000-000015000000}">
      <formula1>0</formula1>
      <formula2>255</formula2>
    </dataValidation>
    <dataValidation type="whole" allowBlank="1" showInputMessage="1" showErrorMessage="1" error="El valor a digitar debe estar entre 0 y 255" sqref="O20:O26 N20:N22 M20:M26 M27:O48 M54:O67 G74:I74 G20:I72" xr:uid="{00000000-0002-0000-0000-000016000000}">
      <formula1>0</formula1>
      <formula2>255</formula2>
    </dataValidation>
    <dataValidation type="decimal" allowBlank="1" showInputMessage="1" showErrorMessage="1" prompt="El valor a digitar debe estar entre 0 y 255" sqref="M49:O53 M74:O74 M68:O72" xr:uid="{8A1FD03B-2C40-4E10-9D1B-67995850DAFA}">
      <formula1>0</formula1>
      <formula2>255</formula2>
    </dataValidation>
  </dataValidations>
  <hyperlinks>
    <hyperlink ref="C12" r:id="rId1" xr:uid="{00000000-0004-0000-0000-000000000000}"/>
    <hyperlink ref="G12" r:id="rId2" xr:uid="{00000000-0004-0000-0000-000001000000}"/>
  </hyperlinks>
  <pageMargins left="0.7" right="0.7" top="0.75" bottom="0.75" header="0.3" footer="0.3"/>
  <pageSetup orientation="portrait" r:id="rId3"/>
  <drawing r:id="rId4"/>
  <legacyDrawing r:id="rId5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00000000-0002-0000-0000-000017000000}">
          <x14:formula1>
            <xm:f>Dominios!$F$3:$F$10</xm:f>
          </x14:formula1>
          <xm:sqref>M10:Q10</xm:sqref>
        </x14:dataValidation>
        <x14:dataValidation type="list" allowBlank="1" showInputMessage="1" showErrorMessage="1" xr:uid="{00000000-0002-0000-0000-000018000000}">
          <x14:formula1>
            <xm:f>Dominios!$G$3:$G$46</xm:f>
          </x14:formula1>
          <xm:sqref>R10:W10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BC1515-B5B5-4361-B903-287C79BE6FB5}">
  <dimension ref="A1:B55"/>
  <sheetViews>
    <sheetView workbookViewId="0">
      <selection activeCell="B19" sqref="B19"/>
    </sheetView>
  </sheetViews>
  <sheetFormatPr baseColWidth="10" defaultColWidth="11.453125" defaultRowHeight="14.5" x14ac:dyDescent="0.35"/>
  <sheetData>
    <row r="1" spans="1:2" x14ac:dyDescent="0.35">
      <c r="A1" t="s">
        <v>100</v>
      </c>
      <c r="B1" t="s">
        <v>101</v>
      </c>
    </row>
    <row r="2" spans="1:2" x14ac:dyDescent="0.35">
      <c r="A2">
        <v>111</v>
      </c>
      <c r="B2" t="s">
        <v>102</v>
      </c>
    </row>
    <row r="3" spans="1:2" x14ac:dyDescent="0.35">
      <c r="A3">
        <v>112</v>
      </c>
      <c r="B3" t="s">
        <v>103</v>
      </c>
    </row>
    <row r="4" spans="1:2" x14ac:dyDescent="0.35">
      <c r="A4">
        <v>121</v>
      </c>
      <c r="B4" t="s">
        <v>104</v>
      </c>
    </row>
    <row r="5" spans="1:2" x14ac:dyDescent="0.35">
      <c r="A5">
        <v>122</v>
      </c>
      <c r="B5" t="s">
        <v>105</v>
      </c>
    </row>
    <row r="6" spans="1:2" x14ac:dyDescent="0.35">
      <c r="A6">
        <v>123</v>
      </c>
      <c r="B6" t="s">
        <v>106</v>
      </c>
    </row>
    <row r="7" spans="1:2" x14ac:dyDescent="0.35">
      <c r="A7">
        <v>124</v>
      </c>
      <c r="B7" t="s">
        <v>107</v>
      </c>
    </row>
    <row r="8" spans="1:2" x14ac:dyDescent="0.35">
      <c r="A8">
        <v>125</v>
      </c>
      <c r="B8" t="s">
        <v>108</v>
      </c>
    </row>
    <row r="9" spans="1:2" x14ac:dyDescent="0.35">
      <c r="A9">
        <v>131</v>
      </c>
      <c r="B9" t="s">
        <v>109</v>
      </c>
    </row>
    <row r="10" spans="1:2" x14ac:dyDescent="0.35">
      <c r="A10">
        <v>132</v>
      </c>
      <c r="B10" t="s">
        <v>110</v>
      </c>
    </row>
    <row r="11" spans="1:2" x14ac:dyDescent="0.35">
      <c r="A11">
        <v>141</v>
      </c>
      <c r="B11" t="s">
        <v>111</v>
      </c>
    </row>
    <row r="12" spans="1:2" x14ac:dyDescent="0.35">
      <c r="A12">
        <v>142</v>
      </c>
      <c r="B12" t="s">
        <v>112</v>
      </c>
    </row>
    <row r="13" spans="1:2" x14ac:dyDescent="0.35">
      <c r="A13">
        <v>211</v>
      </c>
      <c r="B13" t="s">
        <v>113</v>
      </c>
    </row>
    <row r="14" spans="1:2" x14ac:dyDescent="0.35">
      <c r="A14">
        <v>212</v>
      </c>
      <c r="B14" t="s">
        <v>114</v>
      </c>
    </row>
    <row r="15" spans="1:2" x14ac:dyDescent="0.35">
      <c r="A15">
        <v>213</v>
      </c>
      <c r="B15" t="s">
        <v>115</v>
      </c>
    </row>
    <row r="16" spans="1:2" x14ac:dyDescent="0.35">
      <c r="A16">
        <v>214</v>
      </c>
      <c r="B16" t="s">
        <v>116</v>
      </c>
    </row>
    <row r="17" spans="1:2" x14ac:dyDescent="0.35">
      <c r="A17">
        <v>215</v>
      </c>
      <c r="B17" t="s">
        <v>117</v>
      </c>
    </row>
    <row r="18" spans="1:2" x14ac:dyDescent="0.35">
      <c r="A18">
        <v>221</v>
      </c>
      <c r="B18" t="s">
        <v>118</v>
      </c>
    </row>
    <row r="19" spans="1:2" x14ac:dyDescent="0.35">
      <c r="A19">
        <v>222</v>
      </c>
      <c r="B19" t="s">
        <v>119</v>
      </c>
    </row>
    <row r="20" spans="1:2" x14ac:dyDescent="0.35">
      <c r="A20">
        <v>223</v>
      </c>
      <c r="B20" t="s">
        <v>120</v>
      </c>
    </row>
    <row r="21" spans="1:2" x14ac:dyDescent="0.35">
      <c r="A21">
        <v>224</v>
      </c>
      <c r="B21" t="s">
        <v>121</v>
      </c>
    </row>
    <row r="22" spans="1:2" x14ac:dyDescent="0.35">
      <c r="A22">
        <v>225</v>
      </c>
      <c r="B22" t="s">
        <v>122</v>
      </c>
    </row>
    <row r="23" spans="1:2" x14ac:dyDescent="0.35">
      <c r="A23">
        <v>231</v>
      </c>
      <c r="B23" t="s">
        <v>123</v>
      </c>
    </row>
    <row r="24" spans="1:2" x14ac:dyDescent="0.35">
      <c r="A24">
        <v>232</v>
      </c>
      <c r="B24" t="s">
        <v>124</v>
      </c>
    </row>
    <row r="25" spans="1:2" x14ac:dyDescent="0.35">
      <c r="A25">
        <v>233</v>
      </c>
      <c r="B25" t="s">
        <v>125</v>
      </c>
    </row>
    <row r="26" spans="1:2" x14ac:dyDescent="0.35">
      <c r="A26">
        <v>241</v>
      </c>
      <c r="B26" t="s">
        <v>126</v>
      </c>
    </row>
    <row r="27" spans="1:2" x14ac:dyDescent="0.35">
      <c r="A27">
        <v>242</v>
      </c>
      <c r="B27" t="s">
        <v>127</v>
      </c>
    </row>
    <row r="28" spans="1:2" x14ac:dyDescent="0.35">
      <c r="A28">
        <v>243</v>
      </c>
      <c r="B28" t="s">
        <v>128</v>
      </c>
    </row>
    <row r="29" spans="1:2" x14ac:dyDescent="0.35">
      <c r="A29">
        <v>244</v>
      </c>
      <c r="B29" t="s">
        <v>129</v>
      </c>
    </row>
    <row r="30" spans="1:2" x14ac:dyDescent="0.35">
      <c r="A30">
        <v>245</v>
      </c>
      <c r="B30" t="s">
        <v>130</v>
      </c>
    </row>
    <row r="31" spans="1:2" x14ac:dyDescent="0.35">
      <c r="A31">
        <v>311</v>
      </c>
      <c r="B31" t="s">
        <v>131</v>
      </c>
    </row>
    <row r="32" spans="1:2" x14ac:dyDescent="0.35">
      <c r="A32">
        <v>312</v>
      </c>
      <c r="B32" t="s">
        <v>132</v>
      </c>
    </row>
    <row r="33" spans="1:2" x14ac:dyDescent="0.35">
      <c r="A33">
        <v>313</v>
      </c>
      <c r="B33" t="s">
        <v>133</v>
      </c>
    </row>
    <row r="34" spans="1:2" x14ac:dyDescent="0.35">
      <c r="A34">
        <v>314</v>
      </c>
      <c r="B34" t="s">
        <v>134</v>
      </c>
    </row>
    <row r="35" spans="1:2" x14ac:dyDescent="0.35">
      <c r="A35">
        <v>315</v>
      </c>
      <c r="B35" t="s">
        <v>135</v>
      </c>
    </row>
    <row r="36" spans="1:2" x14ac:dyDescent="0.35">
      <c r="A36">
        <v>321</v>
      </c>
      <c r="B36" t="s">
        <v>136</v>
      </c>
    </row>
    <row r="37" spans="1:2" x14ac:dyDescent="0.35">
      <c r="A37">
        <v>322</v>
      </c>
      <c r="B37" t="s">
        <v>137</v>
      </c>
    </row>
    <row r="38" spans="1:2" x14ac:dyDescent="0.35">
      <c r="A38">
        <v>323</v>
      </c>
      <c r="B38" t="s">
        <v>138</v>
      </c>
    </row>
    <row r="39" spans="1:2" x14ac:dyDescent="0.35">
      <c r="A39">
        <v>331</v>
      </c>
      <c r="B39" t="s">
        <v>139</v>
      </c>
    </row>
    <row r="40" spans="1:2" x14ac:dyDescent="0.35">
      <c r="A40">
        <v>332</v>
      </c>
      <c r="B40" t="s">
        <v>140</v>
      </c>
    </row>
    <row r="41" spans="1:2" x14ac:dyDescent="0.35">
      <c r="A41">
        <v>333</v>
      </c>
      <c r="B41" t="s">
        <v>141</v>
      </c>
    </row>
    <row r="42" spans="1:2" x14ac:dyDescent="0.35">
      <c r="A42">
        <v>334</v>
      </c>
      <c r="B42" t="s">
        <v>142</v>
      </c>
    </row>
    <row r="43" spans="1:2" x14ac:dyDescent="0.35">
      <c r="A43">
        <v>335</v>
      </c>
      <c r="B43" t="s">
        <v>143</v>
      </c>
    </row>
    <row r="44" spans="1:2" x14ac:dyDescent="0.35">
      <c r="A44">
        <v>411</v>
      </c>
      <c r="B44" t="s">
        <v>144</v>
      </c>
    </row>
    <row r="45" spans="1:2" x14ac:dyDescent="0.35">
      <c r="A45">
        <v>412</v>
      </c>
      <c r="B45" t="s">
        <v>145</v>
      </c>
    </row>
    <row r="46" spans="1:2" x14ac:dyDescent="0.35">
      <c r="A46">
        <v>413</v>
      </c>
      <c r="B46" t="s">
        <v>146</v>
      </c>
    </row>
    <row r="47" spans="1:2" x14ac:dyDescent="0.35">
      <c r="A47">
        <v>421</v>
      </c>
      <c r="B47" t="s">
        <v>147</v>
      </c>
    </row>
    <row r="48" spans="1:2" x14ac:dyDescent="0.35">
      <c r="A48">
        <v>422</v>
      </c>
      <c r="B48" t="s">
        <v>148</v>
      </c>
    </row>
    <row r="49" spans="1:2" x14ac:dyDescent="0.35">
      <c r="A49">
        <v>423</v>
      </c>
      <c r="B49" t="s">
        <v>144</v>
      </c>
    </row>
    <row r="50" spans="1:2" x14ac:dyDescent="0.35">
      <c r="A50">
        <v>511</v>
      </c>
      <c r="B50" t="s">
        <v>149</v>
      </c>
    </row>
    <row r="51" spans="1:2" x14ac:dyDescent="0.35">
      <c r="A51">
        <v>512</v>
      </c>
      <c r="B51" t="s">
        <v>150</v>
      </c>
    </row>
    <row r="52" spans="1:2" x14ac:dyDescent="0.35">
      <c r="A52">
        <v>513</v>
      </c>
      <c r="B52" t="s">
        <v>151</v>
      </c>
    </row>
    <row r="53" spans="1:2" x14ac:dyDescent="0.35">
      <c r="A53">
        <v>514</v>
      </c>
      <c r="B53" t="s">
        <v>152</v>
      </c>
    </row>
    <row r="54" spans="1:2" x14ac:dyDescent="0.35">
      <c r="A54">
        <v>521</v>
      </c>
      <c r="B54" t="s">
        <v>153</v>
      </c>
    </row>
    <row r="55" spans="1:2" x14ac:dyDescent="0.35">
      <c r="A55">
        <v>523</v>
      </c>
      <c r="B55" t="s">
        <v>154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3"/>
  <dimension ref="A1:U68"/>
  <sheetViews>
    <sheetView topLeftCell="D1" workbookViewId="0">
      <selection activeCell="G20" sqref="G20"/>
    </sheetView>
  </sheetViews>
  <sheetFormatPr baseColWidth="10" defaultColWidth="11.453125" defaultRowHeight="14.5" x14ac:dyDescent="0.35"/>
  <cols>
    <col min="1" max="1" width="50.1796875" bestFit="1" customWidth="1"/>
    <col min="2" max="2" width="34.26953125" bestFit="1" customWidth="1"/>
    <col min="3" max="3" width="41.453125" bestFit="1" customWidth="1"/>
    <col min="4" max="4" width="13.26953125" bestFit="1" customWidth="1"/>
    <col min="6" max="6" width="64.1796875" bestFit="1" customWidth="1"/>
    <col min="7" max="7" width="47.1796875" style="6" bestFit="1" customWidth="1"/>
    <col min="8" max="8" width="2" bestFit="1" customWidth="1"/>
    <col min="9" max="9" width="12.453125" bestFit="1" customWidth="1"/>
    <col min="10" max="10" width="12.1796875" bestFit="1" customWidth="1"/>
    <col min="11" max="11" width="31.1796875" bestFit="1" customWidth="1"/>
    <col min="12" max="12" width="22.1796875" bestFit="1" customWidth="1"/>
    <col min="13" max="13" width="19.81640625" bestFit="1" customWidth="1"/>
    <col min="14" max="14" width="59.7265625" customWidth="1"/>
    <col min="16" max="16" width="20.54296875" bestFit="1" customWidth="1"/>
    <col min="17" max="17" width="30.453125" bestFit="1" customWidth="1"/>
    <col min="18" max="18" width="18.453125" bestFit="1" customWidth="1"/>
  </cols>
  <sheetData>
    <row r="1" spans="1:21" x14ac:dyDescent="0.35">
      <c r="A1" s="2" t="s">
        <v>155</v>
      </c>
      <c r="B1" s="2" t="s">
        <v>156</v>
      </c>
      <c r="C1" s="2" t="s">
        <v>157</v>
      </c>
      <c r="D1" s="2" t="s">
        <v>158</v>
      </c>
      <c r="F1" s="2" t="s">
        <v>159</v>
      </c>
      <c r="G1" s="14" t="s">
        <v>160</v>
      </c>
      <c r="H1" s="118" t="s">
        <v>161</v>
      </c>
      <c r="I1" s="118"/>
      <c r="J1" s="2" t="s">
        <v>162</v>
      </c>
      <c r="K1" s="2" t="s">
        <v>163</v>
      </c>
      <c r="L1" s="2" t="s">
        <v>164</v>
      </c>
      <c r="M1" s="118" t="s">
        <v>165</v>
      </c>
      <c r="N1" s="118"/>
      <c r="O1" s="2" t="s">
        <v>166</v>
      </c>
      <c r="P1" s="2" t="s">
        <v>167</v>
      </c>
      <c r="Q1" s="2" t="s">
        <v>168</v>
      </c>
      <c r="R1" s="2" t="s">
        <v>169</v>
      </c>
      <c r="S1" s="2" t="s">
        <v>170</v>
      </c>
      <c r="T1" s="2" t="s">
        <v>171</v>
      </c>
      <c r="U1" s="2" t="s">
        <v>172</v>
      </c>
    </row>
    <row r="2" spans="1:21" x14ac:dyDescent="0.35">
      <c r="A2" t="s">
        <v>173</v>
      </c>
      <c r="B2" t="s">
        <v>174</v>
      </c>
      <c r="C2" t="s">
        <v>175</v>
      </c>
      <c r="D2">
        <v>4326</v>
      </c>
      <c r="F2" t="s">
        <v>159</v>
      </c>
      <c r="G2" s="6" t="s">
        <v>160</v>
      </c>
      <c r="H2">
        <v>1</v>
      </c>
      <c r="I2" t="s">
        <v>176</v>
      </c>
      <c r="J2" t="s">
        <v>177</v>
      </c>
      <c r="K2" t="s">
        <v>178</v>
      </c>
      <c r="L2" t="s">
        <v>179</v>
      </c>
      <c r="M2" s="2" t="s">
        <v>180</v>
      </c>
      <c r="N2" s="2" t="s">
        <v>181</v>
      </c>
      <c r="O2" t="s">
        <v>182</v>
      </c>
      <c r="P2" t="s">
        <v>183</v>
      </c>
      <c r="Q2" t="s">
        <v>184</v>
      </c>
      <c r="R2" t="s">
        <v>185</v>
      </c>
      <c r="S2" t="s">
        <v>186</v>
      </c>
      <c r="T2" t="s">
        <v>187</v>
      </c>
      <c r="U2" t="s">
        <v>188</v>
      </c>
    </row>
    <row r="3" spans="1:21" x14ac:dyDescent="0.35">
      <c r="A3" t="s">
        <v>189</v>
      </c>
      <c r="B3" t="s">
        <v>179</v>
      </c>
      <c r="C3" t="s">
        <v>190</v>
      </c>
      <c r="D3">
        <v>4686</v>
      </c>
      <c r="F3" t="s">
        <v>191</v>
      </c>
      <c r="G3" s="6" t="s">
        <v>192</v>
      </c>
      <c r="H3">
        <v>2</v>
      </c>
      <c r="I3" t="s">
        <v>193</v>
      </c>
      <c r="J3" t="s">
        <v>194</v>
      </c>
      <c r="K3" t="s">
        <v>195</v>
      </c>
      <c r="L3" t="s">
        <v>174</v>
      </c>
      <c r="M3" t="s">
        <v>196</v>
      </c>
      <c r="N3" t="s">
        <v>197</v>
      </c>
      <c r="O3" t="s">
        <v>161</v>
      </c>
      <c r="P3" t="s">
        <v>198</v>
      </c>
      <c r="Q3" t="s">
        <v>199</v>
      </c>
      <c r="R3" t="s">
        <v>200</v>
      </c>
      <c r="S3" t="s">
        <v>201</v>
      </c>
      <c r="T3" t="s">
        <v>202</v>
      </c>
      <c r="U3" t="s">
        <v>203</v>
      </c>
    </row>
    <row r="4" spans="1:21" x14ac:dyDescent="0.35">
      <c r="A4" t="s">
        <v>204</v>
      </c>
      <c r="B4" t="s">
        <v>205</v>
      </c>
      <c r="C4" t="s">
        <v>206</v>
      </c>
      <c r="D4">
        <v>3114</v>
      </c>
      <c r="F4" t="s">
        <v>207</v>
      </c>
      <c r="G4" s="6" t="s">
        <v>208</v>
      </c>
      <c r="H4">
        <v>3</v>
      </c>
      <c r="I4" t="s">
        <v>209</v>
      </c>
      <c r="J4" t="s">
        <v>210</v>
      </c>
      <c r="K4" t="s">
        <v>211</v>
      </c>
      <c r="M4" s="6" t="s">
        <v>212</v>
      </c>
      <c r="N4" t="s">
        <v>213</v>
      </c>
      <c r="O4" t="s">
        <v>214</v>
      </c>
      <c r="P4" t="s">
        <v>215</v>
      </c>
      <c r="Q4" t="s">
        <v>216</v>
      </c>
      <c r="R4" t="s">
        <v>217</v>
      </c>
      <c r="S4" t="s">
        <v>218</v>
      </c>
      <c r="T4" t="s">
        <v>219</v>
      </c>
      <c r="U4" t="s">
        <v>220</v>
      </c>
    </row>
    <row r="5" spans="1:21" x14ac:dyDescent="0.35">
      <c r="A5" t="s">
        <v>221</v>
      </c>
      <c r="B5" t="s">
        <v>222</v>
      </c>
      <c r="C5" t="s">
        <v>223</v>
      </c>
      <c r="D5">
        <v>3115</v>
      </c>
      <c r="F5" t="s">
        <v>15</v>
      </c>
      <c r="G5" s="6" t="s">
        <v>224</v>
      </c>
      <c r="J5" t="s">
        <v>225</v>
      </c>
      <c r="K5" t="s">
        <v>226</v>
      </c>
      <c r="M5" t="s">
        <v>227</v>
      </c>
      <c r="N5" t="s">
        <v>228</v>
      </c>
      <c r="O5" t="s">
        <v>229</v>
      </c>
      <c r="P5" t="s">
        <v>230</v>
      </c>
      <c r="R5" t="s">
        <v>231</v>
      </c>
      <c r="S5" t="s">
        <v>232</v>
      </c>
    </row>
    <row r="6" spans="1:21" x14ac:dyDescent="0.35">
      <c r="A6" t="s">
        <v>233</v>
      </c>
      <c r="B6" t="s">
        <v>234</v>
      </c>
      <c r="C6" t="s">
        <v>235</v>
      </c>
      <c r="D6">
        <v>3116</v>
      </c>
      <c r="F6" t="s">
        <v>236</v>
      </c>
      <c r="G6" s="6" t="s">
        <v>237</v>
      </c>
      <c r="J6" t="s">
        <v>238</v>
      </c>
      <c r="K6" t="s">
        <v>239</v>
      </c>
      <c r="M6" t="s">
        <v>240</v>
      </c>
      <c r="N6" t="s">
        <v>241</v>
      </c>
      <c r="O6" t="s">
        <v>242</v>
      </c>
      <c r="P6" t="s">
        <v>243</v>
      </c>
      <c r="S6" t="s">
        <v>244</v>
      </c>
    </row>
    <row r="7" spans="1:21" x14ac:dyDescent="0.35">
      <c r="A7" t="s">
        <v>245</v>
      </c>
      <c r="B7" t="s">
        <v>246</v>
      </c>
      <c r="C7" t="s">
        <v>247</v>
      </c>
      <c r="D7">
        <v>3117</v>
      </c>
      <c r="F7" t="s">
        <v>248</v>
      </c>
      <c r="G7" s="6" t="s">
        <v>249</v>
      </c>
      <c r="J7" t="s">
        <v>250</v>
      </c>
      <c r="K7" t="s">
        <v>251</v>
      </c>
      <c r="M7" t="s">
        <v>252</v>
      </c>
      <c r="N7" t="s">
        <v>253</v>
      </c>
      <c r="O7" t="s">
        <v>200</v>
      </c>
      <c r="P7" t="s">
        <v>254</v>
      </c>
      <c r="S7" t="s">
        <v>255</v>
      </c>
    </row>
    <row r="8" spans="1:21" x14ac:dyDescent="0.35">
      <c r="A8" t="s">
        <v>256</v>
      </c>
      <c r="C8" t="s">
        <v>257</v>
      </c>
      <c r="D8">
        <v>3118</v>
      </c>
      <c r="F8" t="s">
        <v>258</v>
      </c>
      <c r="G8" s="6" t="s">
        <v>259</v>
      </c>
      <c r="J8" t="s">
        <v>260</v>
      </c>
      <c r="K8" t="s">
        <v>261</v>
      </c>
      <c r="M8" t="s">
        <v>262</v>
      </c>
      <c r="N8" t="s">
        <v>263</v>
      </c>
      <c r="O8" t="s">
        <v>264</v>
      </c>
      <c r="P8" t="s">
        <v>265</v>
      </c>
      <c r="S8" t="s">
        <v>266</v>
      </c>
    </row>
    <row r="9" spans="1:21" x14ac:dyDescent="0.35">
      <c r="A9" t="s">
        <v>267</v>
      </c>
      <c r="F9" t="s">
        <v>268</v>
      </c>
      <c r="G9" s="6" t="s">
        <v>269</v>
      </c>
      <c r="K9" t="s">
        <v>270</v>
      </c>
      <c r="N9" t="s">
        <v>271</v>
      </c>
      <c r="O9" t="s">
        <v>272</v>
      </c>
      <c r="P9" t="s">
        <v>273</v>
      </c>
      <c r="S9" t="s">
        <v>274</v>
      </c>
    </row>
    <row r="10" spans="1:21" x14ac:dyDescent="0.35">
      <c r="A10" t="s">
        <v>275</v>
      </c>
      <c r="F10" t="s">
        <v>276</v>
      </c>
      <c r="G10" s="6" t="s">
        <v>277</v>
      </c>
      <c r="K10" t="s">
        <v>278</v>
      </c>
      <c r="N10" t="s">
        <v>279</v>
      </c>
      <c r="O10" t="s">
        <v>280</v>
      </c>
      <c r="P10" t="s">
        <v>281</v>
      </c>
      <c r="S10" t="s">
        <v>282</v>
      </c>
    </row>
    <row r="11" spans="1:21" x14ac:dyDescent="0.35">
      <c r="A11" t="s">
        <v>283</v>
      </c>
      <c r="B11" s="2" t="s">
        <v>284</v>
      </c>
      <c r="G11" s="6" t="s">
        <v>285</v>
      </c>
      <c r="K11" t="s">
        <v>286</v>
      </c>
      <c r="N11" t="s">
        <v>287</v>
      </c>
      <c r="O11" t="s">
        <v>288</v>
      </c>
      <c r="P11" t="s">
        <v>289</v>
      </c>
      <c r="S11" t="s">
        <v>290</v>
      </c>
    </row>
    <row r="12" spans="1:21" x14ac:dyDescent="0.35">
      <c r="A12" t="s">
        <v>291</v>
      </c>
      <c r="B12" t="s">
        <v>292</v>
      </c>
      <c r="G12" s="6" t="s">
        <v>293</v>
      </c>
      <c r="K12" t="s">
        <v>294</v>
      </c>
      <c r="N12" t="s">
        <v>295</v>
      </c>
      <c r="O12" t="s">
        <v>296</v>
      </c>
      <c r="P12" t="s">
        <v>297</v>
      </c>
      <c r="S12" t="s">
        <v>298</v>
      </c>
    </row>
    <row r="13" spans="1:21" x14ac:dyDescent="0.35">
      <c r="A13" t="s">
        <v>299</v>
      </c>
      <c r="B13" t="s">
        <v>300</v>
      </c>
      <c r="G13" s="6" t="s">
        <v>301</v>
      </c>
      <c r="K13" t="s">
        <v>302</v>
      </c>
      <c r="N13" t="s">
        <v>303</v>
      </c>
      <c r="O13" t="s">
        <v>304</v>
      </c>
      <c r="P13" t="s">
        <v>305</v>
      </c>
      <c r="S13" t="s">
        <v>306</v>
      </c>
    </row>
    <row r="14" spans="1:21" x14ac:dyDescent="0.35">
      <c r="A14" t="s">
        <v>307</v>
      </c>
      <c r="G14" s="6" t="s">
        <v>308</v>
      </c>
      <c r="K14" t="s">
        <v>309</v>
      </c>
      <c r="N14" t="s">
        <v>310</v>
      </c>
      <c r="O14" t="s">
        <v>311</v>
      </c>
      <c r="P14" t="s">
        <v>312</v>
      </c>
      <c r="S14" t="s">
        <v>313</v>
      </c>
    </row>
    <row r="15" spans="1:21" x14ac:dyDescent="0.35">
      <c r="A15" t="s">
        <v>314</v>
      </c>
      <c r="G15" s="6" t="s">
        <v>315</v>
      </c>
      <c r="K15" t="s">
        <v>316</v>
      </c>
      <c r="N15" t="s">
        <v>317</v>
      </c>
      <c r="O15" t="s">
        <v>318</v>
      </c>
      <c r="P15" t="s">
        <v>319</v>
      </c>
      <c r="S15" t="s">
        <v>320</v>
      </c>
    </row>
    <row r="16" spans="1:21" x14ac:dyDescent="0.35">
      <c r="A16" t="s">
        <v>321</v>
      </c>
      <c r="G16" s="6" t="s">
        <v>322</v>
      </c>
      <c r="K16" t="s">
        <v>323</v>
      </c>
      <c r="N16" t="s">
        <v>324</v>
      </c>
      <c r="O16" t="s">
        <v>325</v>
      </c>
      <c r="P16" t="s">
        <v>326</v>
      </c>
      <c r="S16" t="s">
        <v>327</v>
      </c>
    </row>
    <row r="17" spans="1:16" x14ac:dyDescent="0.35">
      <c r="A17" t="s">
        <v>328</v>
      </c>
      <c r="G17" s="6" t="s">
        <v>329</v>
      </c>
      <c r="K17" t="s">
        <v>330</v>
      </c>
      <c r="N17" t="s">
        <v>331</v>
      </c>
      <c r="O17" t="s">
        <v>332</v>
      </c>
      <c r="P17" t="s">
        <v>333</v>
      </c>
    </row>
    <row r="18" spans="1:16" x14ac:dyDescent="0.35">
      <c r="A18" t="s">
        <v>334</v>
      </c>
      <c r="G18" s="6" t="s">
        <v>335</v>
      </c>
      <c r="K18" t="s">
        <v>336</v>
      </c>
      <c r="N18" t="s">
        <v>337</v>
      </c>
      <c r="O18" t="s">
        <v>338</v>
      </c>
    </row>
    <row r="19" spans="1:16" x14ac:dyDescent="0.35">
      <c r="A19" t="s">
        <v>339</v>
      </c>
      <c r="G19" s="6" t="s">
        <v>340</v>
      </c>
      <c r="K19" t="s">
        <v>341</v>
      </c>
      <c r="N19" t="s">
        <v>342</v>
      </c>
      <c r="O19" t="s">
        <v>343</v>
      </c>
    </row>
    <row r="20" spans="1:16" x14ac:dyDescent="0.35">
      <c r="A20" t="s">
        <v>344</v>
      </c>
      <c r="G20" s="6" t="s">
        <v>345</v>
      </c>
      <c r="K20" t="s">
        <v>346</v>
      </c>
      <c r="N20" t="s">
        <v>347</v>
      </c>
      <c r="O20" t="s">
        <v>348</v>
      </c>
    </row>
    <row r="21" spans="1:16" x14ac:dyDescent="0.35">
      <c r="A21" t="s">
        <v>349</v>
      </c>
      <c r="G21" s="6" t="s">
        <v>16</v>
      </c>
      <c r="K21" t="s">
        <v>350</v>
      </c>
      <c r="O21" t="s">
        <v>351</v>
      </c>
    </row>
    <row r="22" spans="1:16" x14ac:dyDescent="0.35">
      <c r="A22" t="s">
        <v>352</v>
      </c>
      <c r="G22" s="6" t="s">
        <v>353</v>
      </c>
      <c r="K22" t="s">
        <v>354</v>
      </c>
      <c r="O22" t="s">
        <v>355</v>
      </c>
    </row>
    <row r="23" spans="1:16" x14ac:dyDescent="0.35">
      <c r="G23" s="6" t="s">
        <v>356</v>
      </c>
      <c r="K23" t="s">
        <v>238</v>
      </c>
      <c r="O23" t="s">
        <v>357</v>
      </c>
    </row>
    <row r="24" spans="1:16" x14ac:dyDescent="0.35">
      <c r="G24" s="6" t="s">
        <v>358</v>
      </c>
      <c r="K24" t="s">
        <v>250</v>
      </c>
    </row>
    <row r="25" spans="1:16" x14ac:dyDescent="0.35">
      <c r="G25" s="6" t="s">
        <v>359</v>
      </c>
    </row>
    <row r="26" spans="1:16" x14ac:dyDescent="0.35">
      <c r="G26" s="6" t="s">
        <v>360</v>
      </c>
    </row>
    <row r="27" spans="1:16" x14ac:dyDescent="0.35">
      <c r="G27" s="6" t="s">
        <v>361</v>
      </c>
    </row>
    <row r="28" spans="1:16" x14ac:dyDescent="0.35">
      <c r="G28" s="6" t="s">
        <v>362</v>
      </c>
    </row>
    <row r="29" spans="1:16" x14ac:dyDescent="0.35">
      <c r="G29" s="6" t="s">
        <v>363</v>
      </c>
    </row>
    <row r="30" spans="1:16" x14ac:dyDescent="0.35">
      <c r="G30" s="6" t="s">
        <v>364</v>
      </c>
    </row>
    <row r="31" spans="1:16" x14ac:dyDescent="0.35">
      <c r="G31" s="6" t="s">
        <v>365</v>
      </c>
    </row>
    <row r="32" spans="1:16" x14ac:dyDescent="0.35">
      <c r="G32" s="6" t="s">
        <v>366</v>
      </c>
    </row>
    <row r="33" spans="7:7" x14ac:dyDescent="0.35">
      <c r="G33" s="15" t="s">
        <v>367</v>
      </c>
    </row>
    <row r="34" spans="7:7" x14ac:dyDescent="0.35">
      <c r="G34" s="15" t="s">
        <v>368</v>
      </c>
    </row>
    <row r="35" spans="7:7" x14ac:dyDescent="0.35">
      <c r="G35" s="15" t="s">
        <v>369</v>
      </c>
    </row>
    <row r="36" spans="7:7" x14ac:dyDescent="0.35">
      <c r="G36" s="15" t="s">
        <v>370</v>
      </c>
    </row>
    <row r="37" spans="7:7" x14ac:dyDescent="0.35">
      <c r="G37" s="15" t="s">
        <v>371</v>
      </c>
    </row>
    <row r="38" spans="7:7" x14ac:dyDescent="0.35">
      <c r="G38" s="15" t="s">
        <v>372</v>
      </c>
    </row>
    <row r="39" spans="7:7" x14ac:dyDescent="0.35">
      <c r="G39" s="15" t="s">
        <v>373</v>
      </c>
    </row>
    <row r="40" spans="7:7" x14ac:dyDescent="0.35">
      <c r="G40" s="15" t="s">
        <v>374</v>
      </c>
    </row>
    <row r="41" spans="7:7" x14ac:dyDescent="0.35">
      <c r="G41" s="15" t="s">
        <v>375</v>
      </c>
    </row>
    <row r="42" spans="7:7" x14ac:dyDescent="0.35">
      <c r="G42" s="15" t="s">
        <v>376</v>
      </c>
    </row>
    <row r="43" spans="7:7" x14ac:dyDescent="0.35">
      <c r="G43" s="15" t="s">
        <v>377</v>
      </c>
    </row>
    <row r="44" spans="7:7" x14ac:dyDescent="0.35">
      <c r="G44" s="15" t="s">
        <v>378</v>
      </c>
    </row>
    <row r="45" spans="7:7" x14ac:dyDescent="0.35">
      <c r="G45" s="15" t="s">
        <v>379</v>
      </c>
    </row>
    <row r="46" spans="7:7" x14ac:dyDescent="0.35">
      <c r="G46" s="15" t="s">
        <v>380</v>
      </c>
    </row>
    <row r="63" spans="7:7" x14ac:dyDescent="0.35">
      <c r="G63" s="6" t="s">
        <v>381</v>
      </c>
    </row>
    <row r="64" spans="7:7" x14ac:dyDescent="0.35">
      <c r="G64" s="6" t="s">
        <v>382</v>
      </c>
    </row>
    <row r="65" spans="7:7" x14ac:dyDescent="0.35">
      <c r="G65" s="6" t="s">
        <v>383</v>
      </c>
    </row>
    <row r="66" spans="7:7" x14ac:dyDescent="0.35">
      <c r="G66" s="6" t="s">
        <v>384</v>
      </c>
    </row>
    <row r="67" spans="7:7" x14ac:dyDescent="0.35">
      <c r="G67" s="6" t="s">
        <v>385</v>
      </c>
    </row>
    <row r="68" spans="7:7" x14ac:dyDescent="0.35">
      <c r="G68" s="6" t="s">
        <v>386</v>
      </c>
    </row>
  </sheetData>
  <mergeCells count="2">
    <mergeCell ref="H1:I1"/>
    <mergeCell ref="M1:N1"/>
  </mergeCells>
  <pageMargins left="0.7" right="0.7" top="0.75" bottom="0.75" header="0.3" footer="0.3"/>
  <pageSetup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15</vt:i4>
      </vt:variant>
    </vt:vector>
  </HeadingPairs>
  <TitlesOfParts>
    <vt:vector size="18" baseType="lpstr">
      <vt:lpstr>Ficha_Representación_Simbólica</vt:lpstr>
      <vt:lpstr>Hoja1</vt:lpstr>
      <vt:lpstr>Dominios</vt:lpstr>
      <vt:lpstr>Cinco</vt:lpstr>
      <vt:lpstr>Consistencia_Lógica</vt:lpstr>
      <vt:lpstr>ConsistenciaLógica</vt:lpstr>
      <vt:lpstr>ConsistenciLógica</vt:lpstr>
      <vt:lpstr>Cuatro</vt:lpstr>
      <vt:lpstr>Dos</vt:lpstr>
      <vt:lpstr>Exactitud_Posición</vt:lpstr>
      <vt:lpstr>Exactitud_Temática</vt:lpstr>
      <vt:lpstr>ExactitudPosición</vt:lpstr>
      <vt:lpstr>ExactitudTemática</vt:lpstr>
      <vt:lpstr>ExactitudTemporal</vt:lpstr>
      <vt:lpstr>Seis</vt:lpstr>
      <vt:lpstr>Totalidad</vt:lpstr>
      <vt:lpstr>Tres</vt:lpstr>
      <vt:lpstr>Uno</vt:lpstr>
    </vt:vector>
  </TitlesOfParts>
  <Manager/>
  <Company>Hewlett-Packard Company</Company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Edwin Granados</dc:creator>
  <cp:keywords/>
  <dc:description/>
  <cp:lastModifiedBy>TuF</cp:lastModifiedBy>
  <cp:revision/>
  <dcterms:created xsi:type="dcterms:W3CDTF">2015-08-20T13:05:13Z</dcterms:created>
  <dcterms:modified xsi:type="dcterms:W3CDTF">2024-08-06T19:09:20Z</dcterms:modified>
  <cp:category/>
  <cp:contentStatus/>
</cp:coreProperties>
</file>